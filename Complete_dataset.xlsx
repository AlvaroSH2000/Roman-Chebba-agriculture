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ea5557476a22a75/Documentos/ArcGIS/Projects/Tunis/"/>
    </mc:Choice>
  </mc:AlternateContent>
  <xr:revisionPtr revIDLastSave="391" documentId="8_{40EA7F00-6C37-4AF7-BAB1-93C7161E1FF5}" xr6:coauthVersionLast="47" xr6:coauthVersionMax="47" xr10:uidLastSave="{E489ECD0-A36C-4452-9B88-D76172DF2C67}"/>
  <bookViews>
    <workbookView xWindow="-120" yWindow="-120" windowWidth="29040" windowHeight="15720" activeTab="1" xr2:uid="{00000000-000D-0000-FFFF-FFFF00000000}"/>
  </bookViews>
  <sheets>
    <sheet name="Legend" sheetId="1" r:id="rId1"/>
    <sheet name="Chebba sites" sheetId="2" r:id="rId2"/>
    <sheet name="Other si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" i="3" l="1"/>
  <c r="Q53" i="3"/>
  <c r="P53" i="3"/>
  <c r="Y53" i="3"/>
  <c r="X53" i="3"/>
  <c r="W53" i="3"/>
  <c r="V53" i="3"/>
  <c r="U53" i="3"/>
  <c r="R52" i="3"/>
  <c r="Q52" i="3"/>
  <c r="P52" i="3"/>
  <c r="Y52" i="3"/>
  <c r="X52" i="3"/>
  <c r="W52" i="3"/>
  <c r="V52" i="3"/>
  <c r="U52" i="3"/>
  <c r="R51" i="3"/>
  <c r="Q51" i="3"/>
  <c r="P51" i="3"/>
  <c r="Y51" i="3"/>
  <c r="X51" i="3"/>
  <c r="W51" i="3"/>
  <c r="V51" i="3"/>
  <c r="U51" i="3"/>
  <c r="R50" i="3"/>
  <c r="Q50" i="3"/>
  <c r="P50" i="3"/>
  <c r="Y50" i="3"/>
  <c r="X50" i="3"/>
  <c r="W50" i="3"/>
  <c r="V50" i="3"/>
  <c r="U50" i="3"/>
  <c r="R49" i="3"/>
  <c r="Q49" i="3"/>
  <c r="P49" i="3"/>
  <c r="Y49" i="3"/>
  <c r="X49" i="3"/>
  <c r="W49" i="3"/>
  <c r="V49" i="3"/>
  <c r="U49" i="3"/>
  <c r="R48" i="3"/>
  <c r="Q48" i="3"/>
  <c r="P48" i="3"/>
  <c r="Y48" i="3"/>
  <c r="X48" i="3"/>
  <c r="W48" i="3"/>
  <c r="V48" i="3"/>
  <c r="U48" i="3"/>
  <c r="R47" i="3"/>
  <c r="Q47" i="3"/>
  <c r="P47" i="3"/>
  <c r="Y47" i="3"/>
  <c r="X47" i="3"/>
  <c r="W47" i="3"/>
  <c r="V47" i="3"/>
  <c r="U47" i="3"/>
  <c r="R46" i="3"/>
  <c r="Q46" i="3"/>
  <c r="P46" i="3"/>
  <c r="Y46" i="3"/>
  <c r="X46" i="3"/>
  <c r="W46" i="3"/>
  <c r="V46" i="3"/>
  <c r="U46" i="3"/>
  <c r="R45" i="3"/>
  <c r="Q45" i="3"/>
  <c r="P45" i="3"/>
  <c r="Y45" i="3"/>
  <c r="X45" i="3"/>
  <c r="W45" i="3"/>
  <c r="V45" i="3"/>
  <c r="U45" i="3"/>
  <c r="R44" i="3"/>
  <c r="Q44" i="3"/>
  <c r="P44" i="3"/>
  <c r="Y44" i="3"/>
  <c r="X44" i="3"/>
  <c r="W44" i="3"/>
  <c r="V44" i="3"/>
  <c r="U44" i="3"/>
  <c r="R43" i="3"/>
  <c r="Q43" i="3"/>
  <c r="P43" i="3"/>
  <c r="Y43" i="3"/>
  <c r="X43" i="3"/>
  <c r="W43" i="3"/>
  <c r="V43" i="3"/>
  <c r="U43" i="3"/>
  <c r="R42" i="3"/>
  <c r="Q42" i="3"/>
  <c r="P42" i="3"/>
  <c r="Y42" i="3"/>
  <c r="X42" i="3"/>
  <c r="W42" i="3"/>
  <c r="V42" i="3"/>
  <c r="U42" i="3"/>
  <c r="R41" i="3"/>
  <c r="Q41" i="3"/>
  <c r="P41" i="3"/>
  <c r="Y41" i="3"/>
  <c r="X41" i="3"/>
  <c r="W41" i="3"/>
  <c r="V41" i="3"/>
  <c r="U41" i="3"/>
  <c r="R40" i="3"/>
  <c r="Q40" i="3"/>
  <c r="P40" i="3"/>
  <c r="Y40" i="3"/>
  <c r="X40" i="3"/>
  <c r="W40" i="3"/>
  <c r="V40" i="3"/>
  <c r="U40" i="3"/>
  <c r="R39" i="3"/>
  <c r="Q39" i="3"/>
  <c r="P39" i="3"/>
  <c r="Y39" i="3"/>
  <c r="X39" i="3"/>
  <c r="W39" i="3"/>
  <c r="V39" i="3"/>
  <c r="U39" i="3"/>
  <c r="R38" i="3"/>
  <c r="Q38" i="3"/>
  <c r="P38" i="3"/>
  <c r="Y38" i="3"/>
  <c r="X38" i="3"/>
  <c r="W38" i="3"/>
  <c r="V38" i="3"/>
  <c r="U38" i="3"/>
  <c r="R37" i="3"/>
  <c r="Q37" i="3"/>
  <c r="P37" i="3"/>
  <c r="Y37" i="3"/>
  <c r="X37" i="3"/>
  <c r="W37" i="3"/>
  <c r="V37" i="3"/>
  <c r="U37" i="3"/>
  <c r="R36" i="3"/>
  <c r="Q36" i="3"/>
  <c r="P36" i="3"/>
  <c r="Y36" i="3"/>
  <c r="X36" i="3"/>
  <c r="W36" i="3"/>
  <c r="V36" i="3"/>
  <c r="U36" i="3"/>
  <c r="R35" i="3"/>
  <c r="Q35" i="3"/>
  <c r="P35" i="3"/>
  <c r="Y35" i="3"/>
  <c r="X35" i="3"/>
  <c r="W35" i="3"/>
  <c r="V35" i="3"/>
  <c r="U35" i="3"/>
  <c r="R34" i="3"/>
  <c r="Q34" i="3"/>
  <c r="P34" i="3"/>
  <c r="Y34" i="3"/>
  <c r="X34" i="3"/>
  <c r="W34" i="3"/>
  <c r="V34" i="3"/>
  <c r="U34" i="3"/>
  <c r="R33" i="3"/>
  <c r="Q33" i="3"/>
  <c r="P33" i="3"/>
  <c r="Y33" i="3"/>
  <c r="X33" i="3"/>
  <c r="W33" i="3"/>
  <c r="V33" i="3"/>
  <c r="U33" i="3"/>
  <c r="R32" i="3"/>
  <c r="Q32" i="3"/>
  <c r="P32" i="3"/>
  <c r="Y32" i="3"/>
  <c r="X32" i="3"/>
  <c r="W32" i="3"/>
  <c r="V32" i="3"/>
  <c r="U32" i="3"/>
  <c r="R31" i="3"/>
  <c r="Q31" i="3"/>
  <c r="P31" i="3"/>
  <c r="Y31" i="3"/>
  <c r="X31" i="3"/>
  <c r="W31" i="3"/>
  <c r="V31" i="3"/>
  <c r="U31" i="3"/>
  <c r="R30" i="3"/>
  <c r="Q30" i="3"/>
  <c r="P30" i="3"/>
  <c r="Y30" i="3"/>
  <c r="X30" i="3"/>
  <c r="W30" i="3"/>
  <c r="V30" i="3"/>
  <c r="U30" i="3"/>
  <c r="R29" i="3"/>
  <c r="Q29" i="3"/>
  <c r="P29" i="3"/>
  <c r="Y29" i="3"/>
  <c r="X29" i="3"/>
  <c r="W29" i="3"/>
  <c r="V29" i="3"/>
  <c r="U29" i="3"/>
  <c r="R28" i="3"/>
  <c r="Q28" i="3"/>
  <c r="P28" i="3"/>
  <c r="Y28" i="3"/>
  <c r="X28" i="3"/>
  <c r="W28" i="3"/>
  <c r="V28" i="3"/>
  <c r="U28" i="3"/>
  <c r="R27" i="3"/>
  <c r="Q27" i="3"/>
  <c r="P27" i="3"/>
  <c r="Y27" i="3"/>
  <c r="X27" i="3"/>
  <c r="W27" i="3"/>
  <c r="V27" i="3"/>
  <c r="U27" i="3"/>
  <c r="R26" i="3"/>
  <c r="Q26" i="3"/>
  <c r="P26" i="3"/>
  <c r="Y26" i="3"/>
  <c r="X26" i="3"/>
  <c r="W26" i="3"/>
  <c r="V26" i="3"/>
  <c r="U26" i="3"/>
  <c r="R25" i="3"/>
  <c r="Q25" i="3"/>
  <c r="P25" i="3"/>
  <c r="Y25" i="3"/>
  <c r="X25" i="3"/>
  <c r="W25" i="3"/>
  <c r="V25" i="3"/>
  <c r="U25" i="3"/>
  <c r="R24" i="3"/>
  <c r="Q24" i="3"/>
  <c r="P24" i="3"/>
  <c r="Y24" i="3"/>
  <c r="X24" i="3"/>
  <c r="W24" i="3"/>
  <c r="V24" i="3"/>
  <c r="U24" i="3"/>
  <c r="R23" i="3"/>
  <c r="Q23" i="3"/>
  <c r="P23" i="3"/>
  <c r="Y23" i="3"/>
  <c r="X23" i="3"/>
  <c r="W23" i="3"/>
  <c r="V23" i="3"/>
  <c r="U23" i="3"/>
  <c r="R22" i="3"/>
  <c r="Q22" i="3"/>
  <c r="P22" i="3"/>
  <c r="Y22" i="3"/>
  <c r="X22" i="3"/>
  <c r="W22" i="3"/>
  <c r="V22" i="3"/>
  <c r="U22" i="3"/>
  <c r="R21" i="3"/>
  <c r="Q21" i="3"/>
  <c r="P21" i="3"/>
  <c r="Y21" i="3"/>
  <c r="X21" i="3"/>
  <c r="W21" i="3"/>
  <c r="V21" i="3"/>
  <c r="U21" i="3"/>
  <c r="R20" i="3"/>
  <c r="Q20" i="3"/>
  <c r="P20" i="3"/>
  <c r="Y20" i="3"/>
  <c r="X20" i="3"/>
  <c r="W20" i="3"/>
  <c r="V20" i="3"/>
  <c r="U20" i="3"/>
  <c r="R19" i="3"/>
  <c r="Q19" i="3"/>
  <c r="P19" i="3"/>
  <c r="Y19" i="3"/>
  <c r="X19" i="3"/>
  <c r="W19" i="3"/>
  <c r="V19" i="3"/>
  <c r="U19" i="3"/>
  <c r="R18" i="3"/>
  <c r="Q18" i="3"/>
  <c r="P18" i="3"/>
  <c r="Y18" i="3"/>
  <c r="X18" i="3"/>
  <c r="W18" i="3"/>
  <c r="V18" i="3"/>
  <c r="U18" i="3"/>
  <c r="R17" i="3"/>
  <c r="Q17" i="3"/>
  <c r="P17" i="3"/>
  <c r="Y17" i="3"/>
  <c r="X17" i="3"/>
  <c r="W17" i="3"/>
  <c r="V17" i="3"/>
  <c r="U17" i="3"/>
  <c r="R16" i="3"/>
  <c r="Q16" i="3"/>
  <c r="P16" i="3"/>
  <c r="Y16" i="3"/>
  <c r="X16" i="3"/>
  <c r="W16" i="3"/>
  <c r="V16" i="3"/>
  <c r="U16" i="3"/>
  <c r="R15" i="3"/>
  <c r="Q15" i="3"/>
  <c r="P15" i="3"/>
  <c r="Y15" i="3"/>
  <c r="X15" i="3"/>
  <c r="W15" i="3"/>
  <c r="V15" i="3"/>
  <c r="U15" i="3"/>
  <c r="R14" i="3"/>
  <c r="Q14" i="3"/>
  <c r="P14" i="3"/>
  <c r="Y14" i="3"/>
  <c r="X14" i="3"/>
  <c r="W14" i="3"/>
  <c r="V14" i="3"/>
  <c r="U14" i="3"/>
  <c r="R13" i="3"/>
  <c r="Q13" i="3"/>
  <c r="P13" i="3"/>
  <c r="Y13" i="3"/>
  <c r="X13" i="3"/>
  <c r="W13" i="3"/>
  <c r="V13" i="3"/>
  <c r="U13" i="3"/>
  <c r="R12" i="3"/>
  <c r="Q12" i="3"/>
  <c r="P12" i="3"/>
  <c r="Y12" i="3"/>
  <c r="X12" i="3"/>
  <c r="W12" i="3"/>
  <c r="V12" i="3"/>
  <c r="U12" i="3"/>
  <c r="R11" i="3"/>
  <c r="Q11" i="3"/>
  <c r="P11" i="3"/>
  <c r="Y11" i="3"/>
  <c r="X11" i="3"/>
  <c r="W11" i="3"/>
  <c r="V11" i="3"/>
  <c r="U11" i="3"/>
  <c r="R10" i="3"/>
  <c r="Q10" i="3"/>
  <c r="P10" i="3"/>
  <c r="Y10" i="3"/>
  <c r="X10" i="3"/>
  <c r="W10" i="3"/>
  <c r="V10" i="3"/>
  <c r="U10" i="3"/>
  <c r="R9" i="3"/>
  <c r="Q9" i="3"/>
  <c r="P9" i="3"/>
  <c r="Y9" i="3"/>
  <c r="X9" i="3"/>
  <c r="W9" i="3"/>
  <c r="V9" i="3"/>
  <c r="U9" i="3"/>
  <c r="R8" i="3"/>
  <c r="Q8" i="3"/>
  <c r="P8" i="3"/>
  <c r="Y8" i="3"/>
  <c r="X8" i="3"/>
  <c r="W8" i="3"/>
  <c r="V8" i="3"/>
  <c r="U8" i="3"/>
  <c r="R7" i="3"/>
  <c r="Q7" i="3"/>
  <c r="P7" i="3"/>
  <c r="Y7" i="3"/>
  <c r="X7" i="3"/>
  <c r="W7" i="3"/>
  <c r="V7" i="3"/>
  <c r="U7" i="3"/>
  <c r="R6" i="3"/>
  <c r="Q6" i="3"/>
  <c r="P6" i="3"/>
  <c r="Y6" i="3"/>
  <c r="X6" i="3"/>
  <c r="W6" i="3"/>
  <c r="V6" i="3"/>
  <c r="U6" i="3"/>
  <c r="R5" i="3"/>
  <c r="Q5" i="3"/>
  <c r="P5" i="3"/>
  <c r="Y5" i="3"/>
  <c r="X5" i="3"/>
  <c r="W5" i="3"/>
  <c r="V5" i="3"/>
  <c r="U5" i="3"/>
  <c r="R4" i="3"/>
  <c r="Q4" i="3"/>
  <c r="P4" i="3"/>
  <c r="Y4" i="3"/>
  <c r="X4" i="3"/>
  <c r="W4" i="3"/>
  <c r="V4" i="3"/>
  <c r="U4" i="3"/>
  <c r="R3" i="3"/>
  <c r="Q3" i="3"/>
  <c r="P3" i="3"/>
  <c r="Y3" i="3"/>
  <c r="X3" i="3"/>
  <c r="W3" i="3"/>
  <c r="V3" i="3"/>
  <c r="U3" i="3"/>
  <c r="R2" i="3"/>
  <c r="Q2" i="3"/>
  <c r="P2" i="3"/>
  <c r="Y2" i="3"/>
  <c r="X2" i="3"/>
  <c r="W2" i="3"/>
  <c r="V2" i="3"/>
  <c r="U2" i="3"/>
  <c r="S79" i="2"/>
  <c r="R79" i="2"/>
  <c r="R75" i="2"/>
  <c r="S75" i="2"/>
  <c r="S92" i="2"/>
  <c r="R92" i="2"/>
  <c r="S93" i="2"/>
  <c r="R93" i="2"/>
  <c r="T84" i="2"/>
  <c r="U84" i="2"/>
  <c r="R12" i="2"/>
  <c r="S12" i="2"/>
  <c r="S14" i="2"/>
  <c r="R14" i="2"/>
  <c r="T61" i="2"/>
  <c r="U61" i="2"/>
  <c r="R62" i="2"/>
  <c r="S62" i="2"/>
  <c r="U51" i="2"/>
  <c r="T51" i="2"/>
  <c r="S8" i="2"/>
  <c r="R8" i="2"/>
  <c r="S33" i="2"/>
  <c r="R33" i="2"/>
  <c r="S49" i="2"/>
  <c r="R49" i="2"/>
  <c r="R13" i="2"/>
  <c r="S13" i="2"/>
  <c r="T33" i="2"/>
  <c r="U33" i="2"/>
  <c r="T77" i="2"/>
  <c r="U77" i="2"/>
  <c r="U75" i="2"/>
  <c r="T75" i="2"/>
  <c r="U12" i="2"/>
  <c r="T12" i="2"/>
  <c r="U88" i="2"/>
  <c r="T88" i="2"/>
  <c r="T49" i="2"/>
  <c r="U49" i="2"/>
  <c r="R39" i="2"/>
  <c r="S39" i="2"/>
  <c r="S4" i="2"/>
  <c r="R4" i="2"/>
  <c r="T86" i="2"/>
  <c r="U86" i="2"/>
  <c r="R67" i="2"/>
  <c r="S67" i="2"/>
  <c r="R23" i="2"/>
  <c r="S23" i="2"/>
  <c r="S10" i="2"/>
  <c r="R10" i="2"/>
  <c r="U21" i="2"/>
  <c r="T21" i="2"/>
  <c r="U42" i="2"/>
  <c r="T42" i="2"/>
  <c r="U35" i="2"/>
  <c r="T35" i="2"/>
  <c r="T24" i="2"/>
  <c r="U24" i="2"/>
  <c r="S51" i="2"/>
  <c r="R51" i="2"/>
  <c r="R22" i="2"/>
  <c r="S22" i="2"/>
  <c r="R36" i="2"/>
  <c r="S36" i="2"/>
  <c r="S15" i="2"/>
  <c r="R15" i="2"/>
  <c r="R74" i="2"/>
  <c r="S74" i="2"/>
  <c r="S17" i="2"/>
  <c r="R17" i="2"/>
  <c r="U80" i="2"/>
  <c r="T80" i="2"/>
  <c r="T76" i="2"/>
  <c r="U76" i="2"/>
  <c r="U89" i="2"/>
  <c r="T89" i="2"/>
  <c r="S73" i="2"/>
  <c r="R73" i="2"/>
  <c r="R81" i="2"/>
  <c r="S81" i="2"/>
  <c r="U67" i="2"/>
  <c r="T67" i="2"/>
  <c r="R86" i="2"/>
  <c r="S86" i="2"/>
  <c r="T4" i="2"/>
  <c r="U4" i="2"/>
  <c r="T9" i="2"/>
  <c r="U9" i="2"/>
  <c r="U36" i="2"/>
  <c r="T36" i="2"/>
  <c r="S77" i="2"/>
  <c r="R77" i="2"/>
  <c r="T92" i="2"/>
  <c r="U92" i="2"/>
  <c r="R80" i="2"/>
  <c r="S80" i="2"/>
  <c r="S6" i="2"/>
  <c r="R6" i="2"/>
  <c r="U5" i="2"/>
  <c r="T5" i="2"/>
  <c r="T20" i="2"/>
  <c r="R52" i="2"/>
  <c r="S52" i="2"/>
  <c r="U55" i="2"/>
  <c r="T55" i="2"/>
  <c r="T52" i="2"/>
  <c r="U52" i="2"/>
  <c r="R45" i="2"/>
  <c r="S45" i="2"/>
  <c r="U11" i="2"/>
  <c r="T11" i="2"/>
  <c r="U17" i="2"/>
  <c r="T17" i="2"/>
  <c r="R90" i="2"/>
  <c r="S90" i="2"/>
  <c r="T40" i="2"/>
  <c r="U40" i="2"/>
  <c r="R20" i="2"/>
  <c r="S20" i="2"/>
  <c r="T7" i="2"/>
  <c r="U7" i="2"/>
  <c r="U74" i="2"/>
  <c r="T74" i="2"/>
  <c r="T13" i="2"/>
  <c r="U13" i="2"/>
  <c r="T45" i="2"/>
  <c r="U45" i="2"/>
  <c r="S87" i="2"/>
  <c r="R87" i="2"/>
  <c r="T60" i="2"/>
  <c r="U60" i="2"/>
  <c r="R84" i="2"/>
  <c r="S84" i="2"/>
  <c r="U15" i="2"/>
  <c r="T15" i="2"/>
  <c r="S64" i="2"/>
  <c r="R64" i="2"/>
  <c r="R46" i="2"/>
  <c r="S46" i="2"/>
  <c r="R27" i="2"/>
  <c r="T27" i="2"/>
  <c r="S27" i="2"/>
  <c r="S68" i="2"/>
  <c r="R68" i="2"/>
  <c r="R38" i="2"/>
  <c r="S38" i="2"/>
  <c r="R57" i="2"/>
  <c r="S57" i="2"/>
  <c r="R40" i="2"/>
  <c r="S40" i="2"/>
  <c r="S21" i="2"/>
  <c r="R21" i="2"/>
  <c r="S88" i="2"/>
  <c r="R88" i="2"/>
  <c r="S65" i="2"/>
  <c r="R65" i="2"/>
  <c r="T91" i="2"/>
  <c r="U91" i="2"/>
  <c r="S48" i="2"/>
  <c r="R48" i="2"/>
  <c r="R82" i="2"/>
  <c r="S82" i="2"/>
  <c r="U8" i="2"/>
  <c r="T8" i="2"/>
  <c r="R69" i="2"/>
  <c r="S69" i="2"/>
  <c r="S3" i="2"/>
  <c r="R3" i="2"/>
  <c r="R32" i="2"/>
  <c r="S32" i="2"/>
  <c r="S9" i="2"/>
  <c r="R9" i="2"/>
  <c r="T65" i="2"/>
  <c r="U65" i="2"/>
  <c r="S58" i="2"/>
  <c r="R58" i="2"/>
  <c r="R71" i="2"/>
  <c r="S71" i="2"/>
  <c r="T23" i="2"/>
  <c r="U23" i="2"/>
  <c r="S55" i="2"/>
  <c r="R55" i="2"/>
  <c r="S91" i="2"/>
  <c r="R91" i="2"/>
  <c r="T2" i="2"/>
  <c r="T82" i="2"/>
  <c r="U82" i="2"/>
  <c r="U41" i="2"/>
  <c r="T41" i="2"/>
  <c r="T79" i="2"/>
  <c r="U79" i="2"/>
  <c r="S56" i="2"/>
  <c r="R56" i="2"/>
  <c r="R16" i="2"/>
  <c r="S16" i="2"/>
  <c r="R24" i="2"/>
  <c r="S24" i="2"/>
  <c r="U59" i="2"/>
  <c r="T59" i="2"/>
  <c r="U62" i="2"/>
  <c r="T62" i="2"/>
  <c r="U85" i="2"/>
  <c r="T85" i="2"/>
  <c r="R76" i="2"/>
  <c r="S76" i="2"/>
  <c r="T50" i="2"/>
  <c r="U50" i="2"/>
  <c r="U63" i="2"/>
  <c r="T63" i="2"/>
  <c r="S53" i="2"/>
  <c r="R53" i="2"/>
  <c r="R11" i="2"/>
  <c r="S11" i="2"/>
  <c r="T14" i="2"/>
  <c r="U14" i="2"/>
  <c r="T54" i="2"/>
  <c r="U54" i="2"/>
  <c r="T18" i="2"/>
  <c r="U18" i="2"/>
  <c r="T32" i="2"/>
  <c r="U32" i="2"/>
  <c r="R44" i="2"/>
  <c r="S44" i="2"/>
  <c r="R63" i="2"/>
  <c r="S63" i="2"/>
  <c r="T87" i="2"/>
  <c r="U87" i="2"/>
  <c r="R41" i="2"/>
  <c r="S41" i="2"/>
  <c r="U16" i="2"/>
  <c r="T16" i="2"/>
  <c r="U46" i="2"/>
  <c r="T46" i="2"/>
  <c r="T56" i="2"/>
  <c r="U56" i="2"/>
  <c r="R26" i="2"/>
  <c r="T26" i="2"/>
  <c r="S26" i="2"/>
  <c r="S61" i="2"/>
  <c r="R61" i="2"/>
  <c r="T70" i="2"/>
  <c r="U70" i="2"/>
  <c r="S59" i="2"/>
  <c r="R59" i="2"/>
  <c r="R5" i="2"/>
  <c r="S5" i="2"/>
  <c r="T43" i="2"/>
  <c r="U43" i="2"/>
  <c r="U37" i="2"/>
  <c r="T37" i="2"/>
  <c r="U81" i="2"/>
  <c r="T81" i="2"/>
  <c r="S89" i="2"/>
  <c r="R89" i="2"/>
  <c r="R72" i="2"/>
  <c r="S72" i="2"/>
  <c r="T66" i="2"/>
  <c r="U66" i="2"/>
  <c r="T3" i="2"/>
  <c r="U3" i="2"/>
  <c r="T93" i="2"/>
  <c r="U93" i="2"/>
  <c r="T90" i="2"/>
  <c r="U90" i="2"/>
  <c r="T57" i="2"/>
  <c r="U57" i="2"/>
  <c r="S83" i="2"/>
  <c r="R83" i="2"/>
  <c r="R37" i="2"/>
  <c r="S37" i="2"/>
  <c r="R28" i="2"/>
  <c r="T28" i="2"/>
  <c r="S28" i="2"/>
  <c r="U58" i="2"/>
  <c r="T58" i="2"/>
  <c r="U25" i="2"/>
  <c r="T25" i="2"/>
  <c r="U10" i="2"/>
  <c r="T10" i="2"/>
  <c r="R50" i="2"/>
  <c r="S50" i="2"/>
  <c r="T53" i="2"/>
  <c r="U53" i="2"/>
  <c r="S29" i="2"/>
  <c r="T29" i="2"/>
  <c r="R29" i="2"/>
  <c r="R66" i="2"/>
  <c r="S66" i="2"/>
  <c r="S47" i="2"/>
  <c r="R47" i="2"/>
  <c r="S25" i="2"/>
  <c r="R25" i="2"/>
  <c r="T30" i="2"/>
  <c r="U30" i="2"/>
  <c r="R7" i="2"/>
  <c r="S7" i="2"/>
  <c r="T47" i="2"/>
  <c r="U47" i="2"/>
  <c r="U22" i="2"/>
  <c r="T22" i="2"/>
  <c r="U48" i="2"/>
  <c r="T48" i="2"/>
  <c r="U69" i="2"/>
  <c r="T69" i="2"/>
  <c r="U44" i="2"/>
  <c r="T44" i="2"/>
  <c r="U2" i="2"/>
  <c r="S2" i="2"/>
  <c r="R2" i="2"/>
  <c r="S42" i="2"/>
  <c r="R42" i="2"/>
  <c r="S78" i="2"/>
  <c r="R78" i="2"/>
  <c r="R35" i="2"/>
  <c r="S35" i="2"/>
  <c r="S85" i="2"/>
  <c r="R85" i="2"/>
  <c r="T39" i="2"/>
  <c r="U39" i="2"/>
  <c r="R43" i="2"/>
  <c r="S43" i="2"/>
  <c r="U38" i="2"/>
  <c r="T38" i="2"/>
  <c r="T68" i="2"/>
  <c r="U68" i="2"/>
  <c r="S18" i="2"/>
  <c r="R18" i="2"/>
  <c r="S19" i="2"/>
  <c r="T19" i="2"/>
  <c r="R19" i="2"/>
  <c r="T6" i="2"/>
  <c r="U6" i="2"/>
  <c r="S70" i="2"/>
  <c r="R70" i="2"/>
  <c r="S60" i="2"/>
  <c r="R60" i="2"/>
  <c r="T71" i="2"/>
  <c r="U71" i="2"/>
  <c r="U73" i="2"/>
  <c r="T73" i="2"/>
  <c r="T64" i="2"/>
  <c r="U64" i="2"/>
  <c r="S30" i="2"/>
  <c r="R30" i="2"/>
  <c r="U83" i="2"/>
  <c r="T83" i="2"/>
  <c r="T78" i="2"/>
  <c r="U78" i="2"/>
  <c r="U72" i="2"/>
  <c r="T72" i="2"/>
  <c r="R54" i="2"/>
  <c r="S54" i="2"/>
</calcChain>
</file>

<file path=xl/sharedStrings.xml><?xml version="1.0" encoding="utf-8"?>
<sst xmlns="http://schemas.openxmlformats.org/spreadsheetml/2006/main" count="1568" uniqueCount="378">
  <si>
    <t>FID</t>
  </si>
  <si>
    <t>Site</t>
  </si>
  <si>
    <t>Name</t>
  </si>
  <si>
    <t>X__32S_WGS</t>
  </si>
  <si>
    <t>Y__32S_WGS</t>
  </si>
  <si>
    <t>Surface__h</t>
  </si>
  <si>
    <t>Type</t>
  </si>
  <si>
    <t>Level_of_c</t>
  </si>
  <si>
    <t>River_dist</t>
  </si>
  <si>
    <t>Road_dist</t>
  </si>
  <si>
    <t>Near_500</t>
  </si>
  <si>
    <t>Near_750</t>
  </si>
  <si>
    <t>Near_1000</t>
  </si>
  <si>
    <t>Near_3000</t>
  </si>
  <si>
    <t>Lithology</t>
  </si>
  <si>
    <t>CLAF_FAO</t>
  </si>
  <si>
    <t>SOTER_Terr</t>
  </si>
  <si>
    <t>Henchir al Kbir / Henchir el Hfayir</t>
  </si>
  <si>
    <t>villa</t>
  </si>
  <si>
    <t>medium</t>
  </si>
  <si>
    <t>LP</t>
  </si>
  <si>
    <t>UM</t>
  </si>
  <si>
    <t>SCn</t>
  </si>
  <si>
    <t>Construcciones, enduit étanche, mármol, teselas, tubos, necrópolis</t>
  </si>
  <si>
    <t>Sans nom</t>
  </si>
  <si>
    <t>UF</t>
  </si>
  <si>
    <t>GLe</t>
  </si>
  <si>
    <t>LV</t>
  </si>
  <si>
    <t>Termas, dos cisternas, suelo con enduit étanche, grand appareil, opus figlinum, umbral, fuste</t>
  </si>
  <si>
    <t>Jbel Boughabhouba</t>
  </si>
  <si>
    <t>Construcciones probablemente termales, contrapeso, grand appareil, umbral, fuste, mosaico</t>
  </si>
  <si>
    <t>Sidi Saâda</t>
  </si>
  <si>
    <t>Vestigios de termas, cisterna, edificio en opus africanum 12×8 m, mosaico, mármol, tubos</t>
  </si>
  <si>
    <t>Henchir l’Abbasi</t>
  </si>
  <si>
    <t>Edificio en moellons, grand appareil disperso, mosaicos, mármol, ánforas; huilerie asociada</t>
  </si>
  <si>
    <t>Hecher: Sidi Bel</t>
  </si>
  <si>
    <t>SO1</t>
  </si>
  <si>
    <t>CLh</t>
  </si>
  <si>
    <t>Probable establecimiento termal; mosaicos, mármol, tubos; termas con dos bassins y conducción</t>
  </si>
  <si>
    <t>Sidi al Khafi / Henchir Sidi al Khafi</t>
  </si>
  <si>
    <t>CMc</t>
  </si>
  <si>
    <t>SH</t>
  </si>
  <si>
    <t>Dos cisternas, canalización, pozo, muro semicircular, enduit étanche, mosaico, tubos</t>
  </si>
  <si>
    <t>Henchir Ad-Diwan</t>
  </si>
  <si>
    <t>farm</t>
  </si>
  <si>
    <t>high</t>
  </si>
  <si>
    <t>El inventario identifica explícitamente una Ferme; muro de 1 m, pavimento con enduit étanche y otro de mosaico</t>
  </si>
  <si>
    <t>Oued Awinet al Hjal</t>
  </si>
  <si>
    <t>Restos de dos huileries</t>
  </si>
  <si>
    <t>Bir Khammouma</t>
  </si>
  <si>
    <t>Huilerie, opus africanum, maie, contrapeso; además enduit étanche y teselas</t>
  </si>
  <si>
    <t>Oued Jadarmi</t>
  </si>
  <si>
    <t>Elementos de huilerie en place; maie, mortier de trapetum, bassin de décantation, contrapeso</t>
  </si>
  <si>
    <t>Aïn al Hargh</t>
  </si>
  <si>
    <t>Restos de huilerie: maie, contrapeso, instalación hidráulica, harpes</t>
  </si>
  <si>
    <t>Aïn Swissifa</t>
  </si>
  <si>
    <t>Huilerie; dos jumelles en place, pavimento de mosaico, meule</t>
  </si>
  <si>
    <t>El Maklouba</t>
  </si>
  <si>
    <t>FLe</t>
  </si>
  <si>
    <t xml:space="preserve"> </t>
  </si>
  <si>
    <t>Eddouamis</t>
  </si>
  <si>
    <t>74.066-67/69-71</t>
  </si>
  <si>
    <t>Henchir El Merigueb</t>
  </si>
  <si>
    <t>74.078–74.080</t>
  </si>
  <si>
    <t>Henchir El Hanichate</t>
  </si>
  <si>
    <t>SO2</t>
  </si>
  <si>
    <t>CLp</t>
  </si>
  <si>
    <t>Henchir Merbess</t>
  </si>
  <si>
    <t>CLl</t>
  </si>
  <si>
    <t>74.010-74.011</t>
  </si>
  <si>
    <t>Henchir Bou Chebih</t>
  </si>
  <si>
    <t>Sidi El Khafi</t>
  </si>
  <si>
    <t>N/D</t>
  </si>
  <si>
    <t>Henchir Echbilette</t>
  </si>
  <si>
    <t>Bir El Araba (Essaguia)</t>
  </si>
  <si>
    <t>El Kherba</t>
  </si>
  <si>
    <t>Sidi Maatallah / El Argoub</t>
  </si>
  <si>
    <t>Sidi Ali El Jarij</t>
  </si>
  <si>
    <t>Henchir El Kherba</t>
  </si>
  <si>
    <t>UL</t>
  </si>
  <si>
    <t>SNk</t>
  </si>
  <si>
    <t>Restos de huilerie; bassin con enduit étanche y cuvette de décantation; dos contrepoids; edificio destruido con abside, conducción de agua y bassin mosaïqué; abundante sigillata</t>
  </si>
  <si>
    <t>Hamadet Tarfaïat</t>
  </si>
  <si>
    <t>Monumento enterrado con bassin semi-circulaire/oblong con mosaico polícromo; pilettes d’hypocaustes; bloques con encoche; monedas; cerámica muy abundante</t>
  </si>
  <si>
    <t>Edificio en blocage con enduit étanche grueso; abside; parte de bassin; posibles restos de hypocaustes; teselas, mármol y cerámica fina</t>
  </si>
  <si>
    <t>Varias estructuras en moellons; pavimento “béton blanchâtre”; bassin de 6 × 3.2 m con enduit étanche y conducción en terracota; el texto lo considera probablemente un édifice thermal</t>
  </si>
  <si>
    <t>Afloramientos de estructuras, bassins con enduit, puits antique, densidad alta de cerámica; junto a ello un mausolée cuadrado bien conservado y otros destruidos</t>
  </si>
  <si>
    <t>Un mamelón con ratés de cuisson probable four à potier; otro con bassin revestido de mosaico polícromo, canalización cerámica y fragmentos de hypocaustes</t>
  </si>
  <si>
    <t>Henchir Bou Setta</t>
  </si>
  <si>
    <t>Bassin circulaire, estructura de llegada/salida de agua, contrepoids d’huilerie, bloque tallado y sigillata en fuerte densidad</t>
  </si>
  <si>
    <t>Sidi Mabrouk</t>
  </si>
  <si>
    <t>Restos de edificio en blocage; el autor cree que el sol conservado con enduit étanche sería probablemente el aire de pressage d’une huilerie; además capitel, colonnette y bloques</t>
  </si>
  <si>
    <t>Biar Ali Ben Mosbah</t>
  </si>
  <si>
    <t>Citerne antique de 10 × 4 m, seis puits, numerosos bloques tallados, broyeur, moneda, cerámica fina y común abundante; el sitio continúa al sur de la ruta</t>
  </si>
  <si>
    <t>Sidi Amor Ben Bouzid</t>
  </si>
  <si>
    <t>low</t>
  </si>
  <si>
    <t>Sitio antiguo alrededor del marabout; gran citerne con arcos internos y otra segunda citerne enterrada; cerámica fina muy abundante al este</t>
  </si>
  <si>
    <t>Henchir Ben Maati / Henchir Ben Mustapha</t>
  </si>
  <si>
    <t>LD</t>
  </si>
  <si>
    <t>Dos edificios; uno mucho más grande y compacto; tégulas, pilettes d’hypocauste, mosaico polícromo, cerámica fina y sigillata. El autor dice además que conserva habitación + thermes privés y que la cisterna asociada es 064.055.</t>
  </si>
  <si>
    <t>Henchir Hamdane</t>
  </si>
  <si>
    <t>Gran complejo hidráulico ligado a 064.054: depósito circular de 19.5 m, dos bassins de décantation sucesivos y puisard cubierto; uno de los conjuntos hidráulicos “más complejos y originales” de la región.</t>
  </si>
  <si>
    <t>Majen Ben Turkia ou Turkia</t>
  </si>
  <si>
    <t>Campo arqueológico amplio; muros en moellons, bassin avec mosaïque, tubos de coffrage, tégulas, pilettes d’hypocauste; el autor cree que podría tratarse de restos de un establecimiento termal.</t>
  </si>
  <si>
    <t>Majen Ben Turkia</t>
  </si>
  <si>
    <t>Gran depósito circular de 21 m con 23 contrafuertes interiores, dos bassins de décantation y puisard rectangular; parece el complejo hidráulico asociado a 064.061.</t>
  </si>
  <si>
    <t>Restos de varios edificios; établissement thermal conservado, mosaicos polícromos, hypocaustes, fragmento de contrepoids d’huilerie, mucha cerámica fina, sigillata y común.</t>
  </si>
  <si>
    <t>Henchir Belgacem</t>
  </si>
  <si>
    <t>Citerne comblée, contrepoids d’huilerie, mosaico de cubos blancos finos, elemento de molino manual, abundante sigillata.</t>
  </si>
  <si>
    <t>Bir Gueich / Henchir Ouled Oum Salem</t>
  </si>
  <si>
    <t>Varias estructuras: bassin con conducción, cámara con suelo de mosaico polícromo, muros antiguos, catillus y mortero.</t>
  </si>
  <si>
    <t>El propio texto separa dos partes: al norte, “l’emplacement probable de la ferme”; al sur, la necrópolis a jarres con 40–60 tumbas.</t>
  </si>
  <si>
    <t>Stater / Imadet El Kneïs</t>
  </si>
  <si>
    <t>El texto habla explícitamente de un établissement rural con necrópolis de tumbas a caisson alineadas; el hábitat está ligeramente al norte y conserva una citerne en carafe.</t>
  </si>
  <si>
    <t>Sidi Khlifa</t>
  </si>
  <si>
    <t>El autor lo define como “modeste établissement rural antique”; construcción en tierra, poca cerámica, posible citerne en carafe colmatada.</t>
  </si>
  <si>
    <t>El texto dice literalmente “C’est un établissement rural antique”; muy arrasado, hoy casi oculto por construcción moderna; cerámica fina y sigillata.</t>
  </si>
  <si>
    <t>Estructuras y alineamientos de muros, suelo blanquecino endurecido, bloque tallado, sigillata y algo de cerámica islámica.</t>
  </si>
  <si>
    <t>El Hjira</t>
  </si>
  <si>
    <t>Edificio rectangular 20 × 12.4 m, construcción en moellons y briques pleines, necrópolis con tumbas a caisson, cerámica fina y común.</t>
  </si>
  <si>
    <t>Ez Zaafrana</t>
  </si>
  <si>
    <t>Bassin rectangular con contrafuertes; al norte una pequeña butte de unos 800 m² podría corresponder al establecimiento asociado, probablemente de materiales perecederos.</t>
  </si>
  <si>
    <t>Sitio con bloques reutilizados, citerne en carafe colmatada con stuc fino, abundante cerámica fina, común y fragmentos de ánfora.</t>
  </si>
  <si>
    <t>Code</t>
  </si>
  <si>
    <t>Full FAO soil name</t>
  </si>
  <si>
    <t>Soil group</t>
  </si>
  <si>
    <t>Main limitation / trait</t>
  </si>
  <si>
    <t>Agricultural potential</t>
  </si>
  <si>
    <t>Potential score</t>
  </si>
  <si>
    <t>Landform</t>
  </si>
  <si>
    <t>Eutric Fluvisols</t>
  </si>
  <si>
    <t>Fluvisol</t>
  </si>
  <si>
    <t>Alluvial soil; generally fertile</t>
  </si>
  <si>
    <t>High</t>
  </si>
  <si>
    <t>Valley floor</t>
  </si>
  <si>
    <t>Luvic Calcisols</t>
  </si>
  <si>
    <t>Calcisol</t>
  </si>
  <si>
    <t>Calcareous soil with clay accumulation</t>
  </si>
  <si>
    <t>Moderate</t>
  </si>
  <si>
    <t>Plain</t>
  </si>
  <si>
    <t>Moderate-high</t>
  </si>
  <si>
    <t>Haplic Calcisols</t>
  </si>
  <si>
    <t>Calcareous soil</t>
  </si>
  <si>
    <t>Depression</t>
  </si>
  <si>
    <t>Low-moderate</t>
  </si>
  <si>
    <t>Calcaric Cambisols</t>
  </si>
  <si>
    <t>Cambisol</t>
  </si>
  <si>
    <t>Moderately developed calcareous soil</t>
  </si>
  <si>
    <t>Medium hill</t>
  </si>
  <si>
    <t>Low</t>
  </si>
  <si>
    <t>Eutric Gleysols</t>
  </si>
  <si>
    <t>Gleysol</t>
  </si>
  <si>
    <t>Poor drainage / waterlogging</t>
  </si>
  <si>
    <t>Petric Calcisols</t>
  </si>
  <si>
    <t>Petrocalcic hardpan / restricted rooting</t>
  </si>
  <si>
    <t>Calcic Solonetz</t>
  </si>
  <si>
    <t>Solonetz</t>
  </si>
  <si>
    <t>Sodicity / structural constraint</t>
  </si>
  <si>
    <t>Very low</t>
  </si>
  <si>
    <t>Sodic Solonchaks</t>
  </si>
  <si>
    <t>Solonchak</t>
  </si>
  <si>
    <t>Salinity and sodicity</t>
  </si>
  <si>
    <t>Field</t>
  </si>
  <si>
    <t>Meaning</t>
  </si>
  <si>
    <t>Interpretive recoding for modelling purposes only</t>
  </si>
  <si>
    <t>Ordinal support score (4 = highest, 1 = lowest)</t>
  </si>
  <si>
    <t>Note</t>
  </si>
  <si>
    <t>Scores combine soil/landform meaning in a simplified way and should be read together with hydrology.</t>
  </si>
  <si>
    <t>Source workbook fields used</t>
  </si>
  <si>
    <t>Dominant soil code</t>
  </si>
  <si>
    <t>Landform code</t>
  </si>
  <si>
    <t>Soil_name</t>
  </si>
  <si>
    <t>Soil_group</t>
  </si>
  <si>
    <t>Soil_limitation</t>
  </si>
  <si>
    <t>Soil_agri_potential</t>
  </si>
  <si>
    <t>Soil_agri_score</t>
  </si>
  <si>
    <t>Landform_name</t>
  </si>
  <si>
    <t>Landform_agri_potential</t>
  </si>
  <si>
    <t>Landform_agri_score</t>
  </si>
  <si>
    <t>Geology and agricultural potential legend</t>
  </si>
  <si>
    <t>Descriptor</t>
  </si>
  <si>
    <t xml:space="preserve">Near_750 </t>
  </si>
  <si>
    <t xml:space="preserve">Near_1000 </t>
  </si>
  <si>
    <t xml:space="preserve">Distance in metres from the site to the nearest Roman road (roads from Itiner-e) </t>
  </si>
  <si>
    <t>Distance in metres from the site to the nearest DEM-derived drainage line extracted with a flow accumulation threshold of 500</t>
  </si>
  <si>
    <t>Distance in metres from the site to the nearest DEM-derived drainage line extracted with a flow accumulation threshold of 750</t>
  </si>
  <si>
    <t>Distance in metres from the site to the nearest DEM-derived drainage line extracted with a flow accumulation threshold of 1000</t>
  </si>
  <si>
    <t>Distance in metres from the site to the nearest DEM-derived drainage line extracted with a flow accumulation threshold of 3000</t>
  </si>
  <si>
    <t>Distance in metres from the site to the neares water stream (watre streams from HydroRIVERS, Project -provider: HydroSHEDS)</t>
  </si>
  <si>
    <t>TunGLG</t>
  </si>
  <si>
    <t>TunHGComb</t>
  </si>
  <si>
    <t>Unconsolidated</t>
  </si>
  <si>
    <t>U-H</t>
  </si>
  <si>
    <t>Cretaceous-Tertiary sedimentary</t>
  </si>
  <si>
    <t>CSIF-L</t>
  </si>
  <si>
    <t>CSIF-M</t>
  </si>
  <si>
    <t>Aquifer producitivity</t>
  </si>
  <si>
    <t>Unconsolidated sedimentary aquifer</t>
  </si>
  <si>
    <t>High productivity</t>
  </si>
  <si>
    <t>Consolidated sedimentary intergranular/fracture aquifer</t>
  </si>
  <si>
    <t xml:space="preserve">Medium productivity </t>
  </si>
  <si>
    <t>Low productivity</t>
  </si>
  <si>
    <t>*U-H</t>
  </si>
  <si>
    <t>*CSIF-M</t>
  </si>
  <si>
    <t>*CSIF-L</t>
  </si>
  <si>
    <t>*These variables represents broad regional groundwater potential rather than local groundwater availability.</t>
  </si>
  <si>
    <t>Euclidian Categories</t>
  </si>
  <si>
    <t>ID</t>
  </si>
  <si>
    <t>AAT 47</t>
  </si>
  <si>
    <t>AAT 46</t>
  </si>
  <si>
    <t>AAT 45</t>
  </si>
  <si>
    <t>AAT 44</t>
  </si>
  <si>
    <t>Sidi Abdallah el Merackchi</t>
  </si>
  <si>
    <t>AAT 41</t>
  </si>
  <si>
    <t>AAT 43</t>
  </si>
  <si>
    <t>AAT 49</t>
  </si>
  <si>
    <t>AAT 48</t>
  </si>
  <si>
    <t>AAT 92</t>
  </si>
  <si>
    <t>Close to Henchir Abdallah</t>
  </si>
  <si>
    <t>AAT 86</t>
  </si>
  <si>
    <t>AAT 84</t>
  </si>
  <si>
    <t>Close to Henchir Abdallah Oulad Brahim</t>
  </si>
  <si>
    <t>AAT 85</t>
  </si>
  <si>
    <t>AAT 82</t>
  </si>
  <si>
    <t>AAT 81</t>
  </si>
  <si>
    <t>Henchir ben Hassin</t>
  </si>
  <si>
    <t>AAT 57</t>
  </si>
  <si>
    <t>Henchir ben Atrech</t>
  </si>
  <si>
    <t>AAT 58</t>
  </si>
  <si>
    <t>AAT 87</t>
  </si>
  <si>
    <t>AAT 88</t>
  </si>
  <si>
    <t>AAT 89</t>
  </si>
  <si>
    <t>AAT 54</t>
  </si>
  <si>
    <t>AAT 55</t>
  </si>
  <si>
    <t>AAT 56</t>
  </si>
  <si>
    <t>AAT 53</t>
  </si>
  <si>
    <t>AAT 52</t>
  </si>
  <si>
    <t>AAT 51</t>
  </si>
  <si>
    <t>Close to Henchir Kerbet Chia</t>
  </si>
  <si>
    <t>AAT 50</t>
  </si>
  <si>
    <t>AAT 40</t>
  </si>
  <si>
    <t>AAT 39</t>
  </si>
  <si>
    <t>Close to Henchir Djefla</t>
  </si>
  <si>
    <t>AAT 37</t>
  </si>
  <si>
    <t>Henchir Djefla</t>
  </si>
  <si>
    <t>AAT 36</t>
  </si>
  <si>
    <t>AAT 35</t>
  </si>
  <si>
    <t>AAT 34</t>
  </si>
  <si>
    <t>Henchir el Kedelet</t>
  </si>
  <si>
    <t>AAT 32</t>
  </si>
  <si>
    <t>Henchir el Mrair</t>
  </si>
  <si>
    <t>AAT 31</t>
  </si>
  <si>
    <t>Henchir Zlassi</t>
  </si>
  <si>
    <t>AAT 33</t>
  </si>
  <si>
    <t>AAT 30</t>
  </si>
  <si>
    <t>AAT 28</t>
  </si>
  <si>
    <t>Henchir Zeroua</t>
  </si>
  <si>
    <t>AAT 26</t>
  </si>
  <si>
    <t>Henchir Sauauli Krish</t>
  </si>
  <si>
    <t>AAT 27</t>
  </si>
  <si>
    <t>AAT 14</t>
  </si>
  <si>
    <t>AAT 13</t>
  </si>
  <si>
    <t>AAT 15</t>
  </si>
  <si>
    <t>AAT 16</t>
  </si>
  <si>
    <t>Henchir Msena</t>
  </si>
  <si>
    <t>AAT 2</t>
  </si>
  <si>
    <t>Henchir Ameur ben li</t>
  </si>
  <si>
    <t>AAT 3</t>
  </si>
  <si>
    <t>AAT 5</t>
  </si>
  <si>
    <t>Henchir Chammar</t>
  </si>
  <si>
    <t>AAT 17</t>
  </si>
  <si>
    <t>Henchir Terchga</t>
  </si>
  <si>
    <t>AAT 12</t>
  </si>
  <si>
    <t>Henchir el Hauta</t>
  </si>
  <si>
    <t>AAT 11</t>
  </si>
  <si>
    <t>henchir el Assed</t>
  </si>
  <si>
    <t>AAT 18</t>
  </si>
  <si>
    <t>henchir Mbdas Zabb</t>
  </si>
  <si>
    <t>AAT 19</t>
  </si>
  <si>
    <t>Henchir Mna</t>
  </si>
  <si>
    <t>AAT 25</t>
  </si>
  <si>
    <t>Henchir el Kasouir</t>
  </si>
  <si>
    <t>AAT 24</t>
  </si>
  <si>
    <t>Henchir bel Hetuie</t>
  </si>
  <si>
    <t>AAT 23</t>
  </si>
  <si>
    <t>Henchir Rarbet er Ra</t>
  </si>
  <si>
    <t>AAT 20</t>
  </si>
  <si>
    <t>Henchir Zriq</t>
  </si>
  <si>
    <t>AAT 21</t>
  </si>
  <si>
    <t>Henchir Taumania</t>
  </si>
  <si>
    <t>AAT 22</t>
  </si>
  <si>
    <t>Henchir el Massaua</t>
  </si>
  <si>
    <t>AAT 60</t>
  </si>
  <si>
    <t>AAT 61</t>
  </si>
  <si>
    <t>Henchir el Bharbet</t>
  </si>
  <si>
    <t>Henchir Chmamir</t>
  </si>
  <si>
    <t>AAT 6</t>
  </si>
  <si>
    <t>hercher el Kelba</t>
  </si>
  <si>
    <t>AAT 9</t>
  </si>
  <si>
    <t>Henchir Fnien</t>
  </si>
  <si>
    <t>AAT 69</t>
  </si>
  <si>
    <t>AAT 68</t>
  </si>
  <si>
    <t>Henchir Rouagib</t>
  </si>
  <si>
    <t>AAT 67</t>
  </si>
  <si>
    <t>AAT 70</t>
  </si>
  <si>
    <t>AAT 63</t>
  </si>
  <si>
    <t>AAT 66</t>
  </si>
  <si>
    <t>AAT 62</t>
  </si>
  <si>
    <t>Henchir Tolba</t>
  </si>
  <si>
    <t>AAT 64</t>
  </si>
  <si>
    <t>Majen</t>
  </si>
  <si>
    <t>AAT 90</t>
  </si>
  <si>
    <t>AAT 83</t>
  </si>
  <si>
    <t>AAT 59</t>
  </si>
  <si>
    <t>Guedfaia</t>
  </si>
  <si>
    <t>AAT 29</t>
  </si>
  <si>
    <t>henchir Adna</t>
  </si>
  <si>
    <t>AAT 10</t>
  </si>
  <si>
    <t>Henchir Zerda</t>
  </si>
  <si>
    <t>AAT 8</t>
  </si>
  <si>
    <t>henchir Britset</t>
  </si>
  <si>
    <t>AAT 7</t>
  </si>
  <si>
    <t>AAT 1</t>
  </si>
  <si>
    <t>AAT 72</t>
  </si>
  <si>
    <t>Henchir Chebklou</t>
  </si>
  <si>
    <t>AAT 71</t>
  </si>
  <si>
    <t>AAT 65</t>
  </si>
  <si>
    <t>Bir Abd es Salam</t>
  </si>
  <si>
    <t>AAT 77</t>
  </si>
  <si>
    <t>Henchir Magta</t>
  </si>
  <si>
    <t>AAT 74</t>
  </si>
  <si>
    <t>henchir Hamala</t>
  </si>
  <si>
    <t>AAT 76</t>
  </si>
  <si>
    <t>Henchir Guemaguen</t>
  </si>
  <si>
    <t>AAT 75</t>
  </si>
  <si>
    <t>Henchir Houra</t>
  </si>
  <si>
    <t>AAT 78</t>
  </si>
  <si>
    <t>Henchir bou Remad el Kebir</t>
  </si>
  <si>
    <t>AAT 79</t>
  </si>
  <si>
    <t>Henchir el hasan</t>
  </si>
  <si>
    <t>AAT 80</t>
  </si>
  <si>
    <t>Henchir Sidi Emmbarek</t>
  </si>
  <si>
    <t>Henchir Chkemania</t>
  </si>
  <si>
    <t>Small rural settlement</t>
  </si>
  <si>
    <t>AAT 4</t>
  </si>
  <si>
    <t>Insufficient data</t>
  </si>
  <si>
    <t>Probable villa</t>
  </si>
  <si>
    <t>Rural settlement</t>
  </si>
  <si>
    <t>Rural settlement (indeterminate typology)</t>
  </si>
  <si>
    <t>El Areg</t>
  </si>
  <si>
    <t>AAT 38</t>
  </si>
  <si>
    <t>Henchir Djebenine</t>
  </si>
  <si>
    <t>Sidi Abdullah</t>
  </si>
  <si>
    <t>AAT 52.1</t>
  </si>
  <si>
    <t>Henchir Haia</t>
  </si>
  <si>
    <t>Islamic site</t>
  </si>
  <si>
    <t>Henchir Chemta</t>
  </si>
  <si>
    <t>Henchir Zelba</t>
  </si>
  <si>
    <t>AAT 81.1</t>
  </si>
  <si>
    <t>Henchir Oulad Slim</t>
  </si>
  <si>
    <t>Marsa Mellouleche</t>
  </si>
  <si>
    <t>Probable coastal villa</t>
  </si>
  <si>
    <t>Settlement category based on survey</t>
  </si>
  <si>
    <t>Small rural settlement?</t>
  </si>
  <si>
    <t xml:space="preserve">Villa? </t>
  </si>
  <si>
    <t>Rural settlement. Farm?</t>
  </si>
  <si>
    <t>Quarry</t>
  </si>
  <si>
    <t>Kiln</t>
  </si>
  <si>
    <t>AAT 91</t>
  </si>
  <si>
    <t>Henchir Fnineche</t>
  </si>
  <si>
    <t>UE</t>
  </si>
  <si>
    <t>ARh</t>
  </si>
  <si>
    <t>Haplic Arenosol</t>
  </si>
  <si>
    <t>Eolian</t>
  </si>
  <si>
    <t>sandy / low water retention</t>
  </si>
  <si>
    <t>Archaeology</t>
  </si>
  <si>
    <t>X (32S WGS84)</t>
  </si>
  <si>
    <t>Y (32S WGS84)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</si>
</sst>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</font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b/>
      <sz val="11"/>
      <color rgb="FFFFFFFF"/>
      <name val="Aptos Narrow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</font>
    <font>
      <b/>
      <sz val="26"/>
      <color theme="1"/>
      <name val="Aptos Narrow"/>
      <family val="2"/>
    </font>
    <font>
      <sz val="12"/>
      <color theme="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Aptos Narrow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4" fillId="4" borderId="0" xfId="1" applyAlignment="1">
      <alignment vertical="center"/>
    </xf>
    <xf numFmtId="2" fontId="4" fillId="4" borderId="0" xfId="1" applyNumberFormat="1" applyAlignment="1">
      <alignment vertical="center"/>
    </xf>
    <xf numFmtId="0" fontId="4" fillId="4" borderId="2" xfId="1" applyBorder="1" applyAlignment="1">
      <alignment vertical="center"/>
    </xf>
    <xf numFmtId="0" fontId="4" fillId="4" borderId="3" xfId="1" applyBorder="1" applyAlignment="1">
      <alignment horizontal="center" vertical="center" wrapText="1"/>
    </xf>
    <xf numFmtId="0" fontId="4" fillId="4" borderId="4" xfId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4" fillId="4" borderId="3" xfId="1" applyBorder="1" applyAlignment="1">
      <alignment vertical="center"/>
    </xf>
    <xf numFmtId="0" fontId="0" fillId="0" borderId="1" xfId="0" applyBorder="1"/>
    <xf numFmtId="0" fontId="4" fillId="4" borderId="7" xfId="1" applyBorder="1" applyAlignment="1">
      <alignment vertical="center"/>
    </xf>
    <xf numFmtId="0" fontId="0" fillId="0" borderId="8" xfId="0" applyBorder="1"/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4" fillId="4" borderId="2" xfId="1" applyBorder="1" applyAlignment="1">
      <alignment horizontal="center" vertical="center"/>
    </xf>
    <xf numFmtId="0" fontId="4" fillId="4" borderId="3" xfId="1" applyBorder="1" applyAlignment="1">
      <alignment horizontal="center" vertical="center"/>
    </xf>
    <xf numFmtId="0" fontId="8" fillId="4" borderId="4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1" fillId="0" borderId="0" xfId="0" applyFont="1"/>
    <xf numFmtId="2" fontId="9" fillId="0" borderId="0" xfId="0" applyNumberFormat="1" applyFont="1"/>
    <xf numFmtId="0" fontId="0" fillId="0" borderId="0" xfId="0" applyBorder="1"/>
    <xf numFmtId="0" fontId="4" fillId="4" borderId="9" xfId="1" applyBorder="1" applyAlignment="1">
      <alignment vertical="center"/>
    </xf>
    <xf numFmtId="0" fontId="4" fillId="4" borderId="10" xfId="1" applyBorder="1" applyAlignment="1">
      <alignment horizontal="center" vertical="center" wrapText="1"/>
    </xf>
    <xf numFmtId="0" fontId="4" fillId="4" borderId="11" xfId="1" applyBorder="1" applyAlignment="1">
      <alignment horizontal="center" vertical="center" wrapText="1"/>
    </xf>
    <xf numFmtId="0" fontId="12" fillId="0" borderId="0" xfId="0" applyFont="1"/>
    <xf numFmtId="0" fontId="4" fillId="4" borderId="0" xfId="1" applyAlignment="1">
      <alignment horizontal="center" vertical="center"/>
    </xf>
    <xf numFmtId="2" fontId="4" fillId="4" borderId="0" xfId="1" applyNumberFormat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selection activeCell="B10" sqref="B10"/>
    </sheetView>
  </sheetViews>
  <sheetFormatPr baseColWidth="10" defaultRowHeight="15" x14ac:dyDescent="0.25"/>
  <cols>
    <col min="1" max="1" width="53.42578125" customWidth="1"/>
    <col min="2" max="2" width="78.7109375" customWidth="1"/>
    <col min="3" max="3" width="52.7109375" customWidth="1"/>
    <col min="4" max="4" width="28" customWidth="1"/>
    <col min="5" max="5" width="19.7109375" customWidth="1"/>
    <col min="6" max="6" width="12" customWidth="1"/>
    <col min="8" max="8" width="12" customWidth="1"/>
    <col min="9" max="10" width="18" customWidth="1"/>
    <col min="11" max="11" width="12" customWidth="1"/>
  </cols>
  <sheetData>
    <row r="1" spans="1:11" ht="34.5" x14ac:dyDescent="0.55000000000000004">
      <c r="A1" s="20" t="s">
        <v>206</v>
      </c>
      <c r="B1" s="19" t="s">
        <v>180</v>
      </c>
    </row>
    <row r="2" spans="1:11" ht="30" x14ac:dyDescent="0.25">
      <c r="A2" t="s">
        <v>8</v>
      </c>
      <c r="B2" s="17" t="s">
        <v>188</v>
      </c>
    </row>
    <row r="3" spans="1:11" x14ac:dyDescent="0.25">
      <c r="A3" t="s">
        <v>9</v>
      </c>
      <c r="B3" s="17" t="s">
        <v>183</v>
      </c>
    </row>
    <row r="4" spans="1:11" ht="30.75" customHeight="1" x14ac:dyDescent="0.25">
      <c r="A4" s="16" t="s">
        <v>10</v>
      </c>
      <c r="B4" s="17" t="s">
        <v>184</v>
      </c>
    </row>
    <row r="5" spans="1:11" ht="30" x14ac:dyDescent="0.25">
      <c r="A5" s="16" t="s">
        <v>181</v>
      </c>
      <c r="B5" s="17" t="s">
        <v>185</v>
      </c>
    </row>
    <row r="6" spans="1:11" ht="30" x14ac:dyDescent="0.25">
      <c r="A6" s="16" t="s">
        <v>182</v>
      </c>
      <c r="B6" s="17" t="s">
        <v>186</v>
      </c>
    </row>
    <row r="7" spans="1:11" ht="30" x14ac:dyDescent="0.25">
      <c r="A7" s="16" t="s">
        <v>13</v>
      </c>
      <c r="B7" s="17" t="s">
        <v>187</v>
      </c>
    </row>
    <row r="10" spans="1:11" ht="69" x14ac:dyDescent="0.55000000000000004">
      <c r="A10" s="18" t="s">
        <v>179</v>
      </c>
    </row>
    <row r="11" spans="1:11" ht="30" x14ac:dyDescent="0.25">
      <c r="A11" s="3" t="s">
        <v>123</v>
      </c>
      <c r="B11" s="3" t="s">
        <v>124</v>
      </c>
      <c r="C11" s="3" t="s">
        <v>125</v>
      </c>
      <c r="D11" s="3" t="s">
        <v>126</v>
      </c>
      <c r="E11" s="3" t="s">
        <v>127</v>
      </c>
      <c r="F11" s="3" t="s">
        <v>128</v>
      </c>
      <c r="H11" s="3" t="s">
        <v>123</v>
      </c>
      <c r="I11" s="3" t="s">
        <v>129</v>
      </c>
      <c r="J11" s="3" t="s">
        <v>127</v>
      </c>
      <c r="K11" s="3" t="s">
        <v>128</v>
      </c>
    </row>
    <row r="12" spans="1:11" x14ac:dyDescent="0.25">
      <c r="A12" t="s">
        <v>58</v>
      </c>
      <c r="B12" t="s">
        <v>130</v>
      </c>
      <c r="C12" t="s">
        <v>131</v>
      </c>
      <c r="D12" t="s">
        <v>132</v>
      </c>
      <c r="E12" t="s">
        <v>133</v>
      </c>
      <c r="F12">
        <v>4</v>
      </c>
      <c r="H12" t="s">
        <v>27</v>
      </c>
      <c r="I12" t="s">
        <v>134</v>
      </c>
      <c r="J12" t="s">
        <v>133</v>
      </c>
      <c r="K12">
        <v>4</v>
      </c>
    </row>
    <row r="13" spans="1:11" x14ac:dyDescent="0.25">
      <c r="A13" t="s">
        <v>68</v>
      </c>
      <c r="B13" t="s">
        <v>135</v>
      </c>
      <c r="C13" t="s">
        <v>136</v>
      </c>
      <c r="D13" t="s">
        <v>137</v>
      </c>
      <c r="E13" t="s">
        <v>138</v>
      </c>
      <c r="F13">
        <v>3</v>
      </c>
      <c r="H13" t="s">
        <v>20</v>
      </c>
      <c r="I13" t="s">
        <v>139</v>
      </c>
      <c r="J13" t="s">
        <v>140</v>
      </c>
      <c r="K13">
        <v>3</v>
      </c>
    </row>
    <row r="14" spans="1:11" x14ac:dyDescent="0.25">
      <c r="A14" t="s">
        <v>37</v>
      </c>
      <c r="B14" t="s">
        <v>141</v>
      </c>
      <c r="C14" t="s">
        <v>136</v>
      </c>
      <c r="D14" t="s">
        <v>142</v>
      </c>
      <c r="E14" t="s">
        <v>138</v>
      </c>
      <c r="F14">
        <v>3</v>
      </c>
      <c r="H14" t="s">
        <v>98</v>
      </c>
      <c r="I14" t="s">
        <v>143</v>
      </c>
      <c r="J14" t="s">
        <v>144</v>
      </c>
      <c r="K14">
        <v>2</v>
      </c>
    </row>
    <row r="15" spans="1:11" x14ac:dyDescent="0.25">
      <c r="A15" t="s">
        <v>40</v>
      </c>
      <c r="B15" t="s">
        <v>145</v>
      </c>
      <c r="C15" t="s">
        <v>146</v>
      </c>
      <c r="D15" t="s">
        <v>147</v>
      </c>
      <c r="E15" t="s">
        <v>138</v>
      </c>
      <c r="F15">
        <v>3</v>
      </c>
      <c r="H15" t="s">
        <v>41</v>
      </c>
      <c r="I15" t="s">
        <v>148</v>
      </c>
      <c r="J15" t="s">
        <v>149</v>
      </c>
      <c r="K15">
        <v>1</v>
      </c>
    </row>
    <row r="16" spans="1:11" x14ac:dyDescent="0.25">
      <c r="A16" t="s">
        <v>26</v>
      </c>
      <c r="B16" t="s">
        <v>150</v>
      </c>
      <c r="C16" t="s">
        <v>151</v>
      </c>
      <c r="D16" t="s">
        <v>152</v>
      </c>
      <c r="E16" t="s">
        <v>149</v>
      </c>
      <c r="F16">
        <v>2</v>
      </c>
    </row>
    <row r="17" spans="1:6" x14ac:dyDescent="0.25">
      <c r="A17" t="s">
        <v>66</v>
      </c>
      <c r="B17" t="s">
        <v>153</v>
      </c>
      <c r="C17" t="s">
        <v>136</v>
      </c>
      <c r="D17" t="s">
        <v>154</v>
      </c>
      <c r="E17" t="s">
        <v>149</v>
      </c>
      <c r="F17">
        <v>2</v>
      </c>
    </row>
    <row r="18" spans="1:6" x14ac:dyDescent="0.25">
      <c r="A18" t="s">
        <v>80</v>
      </c>
      <c r="B18" t="s">
        <v>155</v>
      </c>
      <c r="C18" t="s">
        <v>156</v>
      </c>
      <c r="D18" t="s">
        <v>157</v>
      </c>
      <c r="E18" t="s">
        <v>158</v>
      </c>
      <c r="F18">
        <v>1</v>
      </c>
    </row>
    <row r="19" spans="1:6" x14ac:dyDescent="0.25">
      <c r="A19" t="s">
        <v>22</v>
      </c>
      <c r="B19" t="s">
        <v>159</v>
      </c>
      <c r="C19" t="s">
        <v>160</v>
      </c>
      <c r="D19" t="s">
        <v>161</v>
      </c>
      <c r="E19" t="s">
        <v>158</v>
      </c>
      <c r="F19">
        <v>1</v>
      </c>
    </row>
    <row r="20" spans="1:6" x14ac:dyDescent="0.25">
      <c r="A20" s="16" t="s">
        <v>202</v>
      </c>
      <c r="C20" s="24" t="s">
        <v>197</v>
      </c>
      <c r="E20" s="16" t="s">
        <v>198</v>
      </c>
      <c r="F20">
        <v>4</v>
      </c>
    </row>
    <row r="21" spans="1:6" x14ac:dyDescent="0.25">
      <c r="A21" s="16" t="s">
        <v>203</v>
      </c>
      <c r="C21" t="s">
        <v>199</v>
      </c>
      <c r="E21" s="16" t="s">
        <v>200</v>
      </c>
      <c r="F21">
        <v>3</v>
      </c>
    </row>
    <row r="22" spans="1:6" x14ac:dyDescent="0.25">
      <c r="A22" s="16" t="s">
        <v>204</v>
      </c>
      <c r="C22" t="s">
        <v>199</v>
      </c>
      <c r="E22" s="16" t="s">
        <v>201</v>
      </c>
      <c r="F22">
        <v>1</v>
      </c>
    </row>
    <row r="23" spans="1:6" x14ac:dyDescent="0.25">
      <c r="A23" s="16" t="s">
        <v>205</v>
      </c>
    </row>
    <row r="26" spans="1:6" x14ac:dyDescent="0.25">
      <c r="A26" s="4" t="s">
        <v>162</v>
      </c>
      <c r="B26" s="4" t="s">
        <v>163</v>
      </c>
    </row>
    <row r="27" spans="1:6" x14ac:dyDescent="0.25">
      <c r="A27" t="s">
        <v>127</v>
      </c>
      <c r="B27" t="s">
        <v>164</v>
      </c>
    </row>
    <row r="28" spans="1:6" x14ac:dyDescent="0.25">
      <c r="A28" t="s">
        <v>128</v>
      </c>
      <c r="B28" t="s">
        <v>165</v>
      </c>
    </row>
    <row r="29" spans="1:6" x14ac:dyDescent="0.25">
      <c r="A29" t="s">
        <v>166</v>
      </c>
      <c r="B29" t="s">
        <v>167</v>
      </c>
    </row>
    <row r="31" spans="1:6" x14ac:dyDescent="0.25">
      <c r="A31" s="4" t="s">
        <v>168</v>
      </c>
      <c r="B31" s="4"/>
      <c r="C31" s="4"/>
      <c r="D31" s="4"/>
    </row>
    <row r="32" spans="1:6" x14ac:dyDescent="0.25">
      <c r="A32" t="s">
        <v>15</v>
      </c>
      <c r="B32" t="s">
        <v>169</v>
      </c>
      <c r="C32" t="s">
        <v>16</v>
      </c>
      <c r="D3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3"/>
  <sheetViews>
    <sheetView tabSelected="1" workbookViewId="0">
      <selection activeCell="E19" sqref="E19"/>
    </sheetView>
  </sheetViews>
  <sheetFormatPr baseColWidth="10" defaultRowHeight="15" x14ac:dyDescent="0.25"/>
  <cols>
    <col min="1" max="1" width="11.42578125" style="16"/>
    <col min="2" max="3" width="11.42578125" style="2"/>
    <col min="4" max="4" width="43.7109375" customWidth="1"/>
    <col min="5" max="5" width="35.140625" customWidth="1"/>
    <col min="6" max="7" width="11.42578125" style="15"/>
    <col min="8" max="8" width="11.42578125" style="10"/>
    <col min="9" max="10" width="11.42578125" style="29"/>
    <col min="11" max="11" width="11.42578125" style="11"/>
    <col min="12" max="12" width="11.42578125" style="10"/>
    <col min="13" max="13" width="11.42578125" style="29"/>
    <col min="14" max="14" width="14.85546875" style="29" customWidth="1"/>
    <col min="15" max="15" width="11.42578125" style="11"/>
    <col min="16" max="16" width="11.42578125" style="10"/>
    <col min="17" max="17" width="11.42578125" style="29"/>
    <col min="18" max="18" width="18" style="29" customWidth="1"/>
    <col min="19" max="19" width="20.28515625" style="29" customWidth="1"/>
    <col min="20" max="20" width="41.28515625" style="29" customWidth="1"/>
    <col min="21" max="21" width="38" style="29" customWidth="1"/>
    <col min="22" max="22" width="11.42578125" style="11"/>
    <col min="23" max="23" width="18.140625" style="10" customWidth="1"/>
    <col min="24" max="24" width="19" style="29" customWidth="1"/>
    <col min="25" max="25" width="25.5703125" style="11" customWidth="1"/>
  </cols>
  <sheetData>
    <row r="1" spans="1:26" ht="30.75" thickBot="1" x14ac:dyDescent="0.3">
      <c r="A1" s="34" t="s">
        <v>207</v>
      </c>
      <c r="B1" s="35" t="s">
        <v>376</v>
      </c>
      <c r="C1" s="35" t="s">
        <v>377</v>
      </c>
      <c r="D1" s="34" t="s">
        <v>2</v>
      </c>
      <c r="E1" s="34" t="s">
        <v>362</v>
      </c>
      <c r="F1" s="14" t="s">
        <v>8</v>
      </c>
      <c r="G1" s="14" t="s">
        <v>9</v>
      </c>
      <c r="H1" s="14" t="s">
        <v>10</v>
      </c>
      <c r="I1" s="14" t="s">
        <v>11</v>
      </c>
      <c r="J1" s="14" t="s">
        <v>12</v>
      </c>
      <c r="K1" s="14" t="s">
        <v>13</v>
      </c>
      <c r="L1" s="30" t="s">
        <v>16</v>
      </c>
      <c r="M1" s="31" t="s">
        <v>176</v>
      </c>
      <c r="N1" s="31" t="s">
        <v>177</v>
      </c>
      <c r="O1" s="32" t="s">
        <v>178</v>
      </c>
      <c r="P1" s="7" t="s">
        <v>14</v>
      </c>
      <c r="Q1" s="12" t="s">
        <v>15</v>
      </c>
      <c r="R1" s="8" t="s">
        <v>171</v>
      </c>
      <c r="S1" s="8" t="s">
        <v>172</v>
      </c>
      <c r="T1" s="8" t="s">
        <v>173</v>
      </c>
      <c r="U1" s="8" t="s">
        <v>174</v>
      </c>
      <c r="V1" s="9" t="s">
        <v>175</v>
      </c>
      <c r="W1" s="21" t="s">
        <v>189</v>
      </c>
      <c r="X1" s="22" t="s">
        <v>190</v>
      </c>
      <c r="Y1" s="23" t="s">
        <v>196</v>
      </c>
      <c r="Z1" s="5" t="s">
        <v>375</v>
      </c>
    </row>
    <row r="2" spans="1:26" x14ac:dyDescent="0.25">
      <c r="A2" s="26" t="s">
        <v>322</v>
      </c>
      <c r="B2" s="28">
        <v>673557</v>
      </c>
      <c r="C2" s="28">
        <v>3912078</v>
      </c>
      <c r="D2" s="25" t="s">
        <v>72</v>
      </c>
      <c r="E2" s="16" t="s">
        <v>72</v>
      </c>
      <c r="F2" s="15">
        <v>547.63027399999999</v>
      </c>
      <c r="G2" s="15">
        <v>1049.8099669999999</v>
      </c>
      <c r="H2" s="10">
        <v>348.24998900000003</v>
      </c>
      <c r="I2" s="29">
        <v>348.24997500000001</v>
      </c>
      <c r="J2" s="29">
        <v>348.24998900000003</v>
      </c>
      <c r="K2" s="11">
        <v>547.63027399999999</v>
      </c>
      <c r="L2" t="s">
        <v>20</v>
      </c>
      <c r="M2" s="29" t="s">
        <v>139</v>
      </c>
      <c r="N2" t="s">
        <v>140</v>
      </c>
      <c r="O2" s="11">
        <v>3</v>
      </c>
      <c r="P2" s="10" t="s">
        <v>36</v>
      </c>
      <c r="Q2" s="29" t="s">
        <v>66</v>
      </c>
      <c r="R2" s="29" t="str">
        <f ca="1">VLOOKUP($S2,Legend!$A$12:$F$19,2,FALSE)</f>
        <v>Petric Calcisols</v>
      </c>
      <c r="S2" s="29" t="str">
        <f ca="1">VLOOKUP($S2,Legend!$A$12:$F$19,3,FALSE)</f>
        <v>Calcisol</v>
      </c>
      <c r="T2" s="29" t="str">
        <f ca="1">VLOOKUP($T2,Legend!$A$12:$F$19,4,FALSE)</f>
        <v>Petrocalcic hardpan / restricted rooting</v>
      </c>
      <c r="U2" s="29" t="str">
        <f ca="1">VLOOKUP($S2,Legend!$A$12:$F$19,5,FALSE)</f>
        <v>Low</v>
      </c>
      <c r="V2" s="11">
        <v>2</v>
      </c>
      <c r="W2" s="10" t="s">
        <v>191</v>
      </c>
      <c r="X2" s="29" t="s">
        <v>192</v>
      </c>
      <c r="Y2" s="11">
        <v>4</v>
      </c>
    </row>
    <row r="3" spans="1:26" x14ac:dyDescent="0.25">
      <c r="A3" s="26" t="s">
        <v>265</v>
      </c>
      <c r="B3" s="28">
        <v>671700</v>
      </c>
      <c r="C3" s="28">
        <v>3911030</v>
      </c>
      <c r="D3" t="s">
        <v>266</v>
      </c>
      <c r="E3" s="16" t="s">
        <v>72</v>
      </c>
      <c r="F3" s="15">
        <v>251.182489</v>
      </c>
      <c r="G3" s="15">
        <v>2143.674622</v>
      </c>
      <c r="H3" s="10">
        <v>121.34624700000001</v>
      </c>
      <c r="I3" s="29">
        <v>129.97035299999999</v>
      </c>
      <c r="J3" s="29">
        <v>251.182489</v>
      </c>
      <c r="K3" s="11">
        <v>251.182489</v>
      </c>
      <c r="L3" t="s">
        <v>20</v>
      </c>
      <c r="M3" s="29" t="s">
        <v>139</v>
      </c>
      <c r="N3" t="s">
        <v>140</v>
      </c>
      <c r="O3" s="11">
        <v>3</v>
      </c>
      <c r="P3" s="10" t="s">
        <v>36</v>
      </c>
      <c r="Q3" s="29" t="s">
        <v>66</v>
      </c>
      <c r="R3" s="29" t="str">
        <f ca="1">VLOOKUP($S3,Legend!$A$12:$F$19,2,FALSE)</f>
        <v>Petric Calcisols</v>
      </c>
      <c r="S3" s="29" t="str">
        <f ca="1">VLOOKUP($S3,Legend!$A$12:$F$19,3,FALSE)</f>
        <v>Calcisol</v>
      </c>
      <c r="T3" s="29" t="str">
        <f ca="1">VLOOKUP($T3,Legend!$A$12:$F$19,4,FALSE)</f>
        <v>Petrocalcic hardpan / restricted rooting</v>
      </c>
      <c r="U3" s="29" t="str">
        <f ca="1">VLOOKUP($T3,Legend!$A$12:$F$19,5,FALSE)</f>
        <v>Low</v>
      </c>
      <c r="V3" s="11">
        <v>2</v>
      </c>
      <c r="W3" s="10" t="s">
        <v>191</v>
      </c>
      <c r="X3" s="29" t="s">
        <v>192</v>
      </c>
      <c r="Y3" s="11">
        <v>4</v>
      </c>
    </row>
    <row r="4" spans="1:26" x14ac:dyDescent="0.25">
      <c r="A4" s="26" t="s">
        <v>267</v>
      </c>
      <c r="B4" s="28">
        <v>671818</v>
      </c>
      <c r="C4" s="28">
        <v>3909099</v>
      </c>
      <c r="D4" t="s">
        <v>342</v>
      </c>
      <c r="E4" s="16" t="s">
        <v>363</v>
      </c>
      <c r="F4" s="15">
        <v>1142.6097649999999</v>
      </c>
      <c r="G4" s="15">
        <v>795.05953199999999</v>
      </c>
      <c r="H4" s="10">
        <v>201.27641</v>
      </c>
      <c r="I4" s="29">
        <v>555.12078499999996</v>
      </c>
      <c r="J4" s="29">
        <v>774.41276400000004</v>
      </c>
      <c r="K4" s="11">
        <v>1142.6097649999999</v>
      </c>
      <c r="L4" t="s">
        <v>20</v>
      </c>
      <c r="M4" s="29" t="s">
        <v>139</v>
      </c>
      <c r="N4" t="s">
        <v>140</v>
      </c>
      <c r="O4" s="11">
        <v>3</v>
      </c>
      <c r="P4" s="10" t="s">
        <v>36</v>
      </c>
      <c r="Q4" s="29" t="s">
        <v>66</v>
      </c>
      <c r="R4" s="29" t="str">
        <f ca="1">VLOOKUP($S4,Legend!$A$12:$F$19,2,FALSE)</f>
        <v>Petric Calcisols</v>
      </c>
      <c r="S4" s="29" t="str">
        <f ca="1">VLOOKUP($S4,Legend!$A$12:$F$19,3,FALSE)</f>
        <v>Calcisol</v>
      </c>
      <c r="T4" s="29" t="str">
        <f ca="1">VLOOKUP($T4,Legend!$A$12:$F$19,4,FALSE)</f>
        <v>Petrocalcic hardpan / restricted rooting</v>
      </c>
      <c r="U4" s="29" t="str">
        <f ca="1">VLOOKUP($T4,Legend!$A$12:$F$19,5,FALSE)</f>
        <v>Low</v>
      </c>
      <c r="V4" s="11">
        <v>2</v>
      </c>
      <c r="W4" s="10" t="s">
        <v>191</v>
      </c>
      <c r="X4" s="29" t="s">
        <v>192</v>
      </c>
      <c r="Y4" s="11">
        <v>4</v>
      </c>
    </row>
    <row r="5" spans="1:26" x14ac:dyDescent="0.25">
      <c r="A5" s="26" t="s">
        <v>344</v>
      </c>
      <c r="B5" s="28">
        <v>671991</v>
      </c>
      <c r="C5" s="28">
        <v>3907999</v>
      </c>
      <c r="D5" t="s">
        <v>269</v>
      </c>
      <c r="E5" s="16" t="s">
        <v>363</v>
      </c>
      <c r="F5" s="15">
        <v>72.562110000000004</v>
      </c>
      <c r="G5" s="15">
        <v>115.062397</v>
      </c>
      <c r="H5" s="10">
        <v>71.757300000000001</v>
      </c>
      <c r="I5" s="29">
        <v>71.757300000000001</v>
      </c>
      <c r="J5" s="29">
        <v>71.757300000000001</v>
      </c>
      <c r="K5" s="11">
        <v>72.562110000000004</v>
      </c>
      <c r="L5" t="s">
        <v>20</v>
      </c>
      <c r="M5" s="29" t="s">
        <v>139</v>
      </c>
      <c r="N5" t="s">
        <v>140</v>
      </c>
      <c r="O5" s="11">
        <v>3</v>
      </c>
      <c r="P5" s="10" t="s">
        <v>65</v>
      </c>
      <c r="Q5" s="29" t="s">
        <v>66</v>
      </c>
      <c r="R5" s="29" t="str">
        <f ca="1">VLOOKUP($S5,Legend!$A$12:$F$19,2,FALSE)</f>
        <v>Petric Calcisols</v>
      </c>
      <c r="S5" s="29" t="str">
        <f ca="1">VLOOKUP($S5,Legend!$A$12:$F$19,3,FALSE)</f>
        <v>Calcisol</v>
      </c>
      <c r="T5" s="29" t="str">
        <f ca="1">VLOOKUP($T5,Legend!$A$12:$F$19,4,FALSE)</f>
        <v>Petrocalcic hardpan / restricted rooting</v>
      </c>
      <c r="U5" s="29" t="str">
        <f ca="1">VLOOKUP($T5,Legend!$A$12:$F$19,5,FALSE)</f>
        <v>Low</v>
      </c>
      <c r="V5" s="11">
        <v>2</v>
      </c>
      <c r="W5" s="10" t="s">
        <v>191</v>
      </c>
      <c r="X5" s="29" t="s">
        <v>192</v>
      </c>
      <c r="Y5" s="11">
        <v>4</v>
      </c>
    </row>
    <row r="6" spans="1:26" x14ac:dyDescent="0.25">
      <c r="A6" s="26" t="s">
        <v>268</v>
      </c>
      <c r="B6" s="28">
        <v>671599</v>
      </c>
      <c r="C6" s="28">
        <v>3906697</v>
      </c>
      <c r="D6" s="25" t="s">
        <v>295</v>
      </c>
      <c r="E6" s="16" t="s">
        <v>72</v>
      </c>
      <c r="F6" s="15">
        <v>207.217287</v>
      </c>
      <c r="G6" s="15">
        <v>82.874364</v>
      </c>
      <c r="H6" s="10">
        <v>207.217287</v>
      </c>
      <c r="I6" s="29">
        <v>207.217319</v>
      </c>
      <c r="J6" s="29">
        <v>207.217287</v>
      </c>
      <c r="K6" s="11">
        <v>207.217287</v>
      </c>
      <c r="L6" t="s">
        <v>20</v>
      </c>
      <c r="M6" s="29" t="s">
        <v>139</v>
      </c>
      <c r="N6" t="s">
        <v>140</v>
      </c>
      <c r="O6" s="11">
        <v>3</v>
      </c>
      <c r="P6" s="10" t="s">
        <v>65</v>
      </c>
      <c r="Q6" s="29" t="s">
        <v>66</v>
      </c>
      <c r="R6" s="29" t="str">
        <f ca="1">VLOOKUP($S6,Legend!$A$12:$F$19,2,FALSE)</f>
        <v>Petric Calcisols</v>
      </c>
      <c r="S6" s="29" t="str">
        <f ca="1">VLOOKUP($S6,Legend!$A$12:$F$19,3,FALSE)</f>
        <v>Calcisol</v>
      </c>
      <c r="T6" s="29" t="str">
        <f ca="1">VLOOKUP($T6,Legend!$A$12:$F$19,4,FALSE)</f>
        <v>Petrocalcic hardpan / restricted rooting</v>
      </c>
      <c r="U6" s="29" t="str">
        <f ca="1">VLOOKUP($T6,Legend!$A$12:$F$19,5,FALSE)</f>
        <v>Low</v>
      </c>
      <c r="V6" s="11">
        <v>2</v>
      </c>
      <c r="W6" s="10" t="s">
        <v>191</v>
      </c>
      <c r="X6" s="29" t="s">
        <v>192</v>
      </c>
      <c r="Y6" s="11">
        <v>4</v>
      </c>
    </row>
    <row r="7" spans="1:26" x14ac:dyDescent="0.25">
      <c r="A7" s="26" t="s">
        <v>296</v>
      </c>
      <c r="B7" s="28">
        <v>670861</v>
      </c>
      <c r="C7" s="28">
        <v>3905556</v>
      </c>
      <c r="D7" t="s">
        <v>297</v>
      </c>
      <c r="E7" s="16" t="s">
        <v>72</v>
      </c>
      <c r="F7" s="15">
        <v>489.86988300000002</v>
      </c>
      <c r="G7" s="15">
        <v>75.730214000000004</v>
      </c>
      <c r="H7" s="10">
        <v>489.86988300000002</v>
      </c>
      <c r="I7" s="29">
        <v>489.86990800000001</v>
      </c>
      <c r="J7" s="29">
        <v>489.86988300000002</v>
      </c>
      <c r="K7" s="11">
        <v>489.86988300000002</v>
      </c>
      <c r="L7" t="s">
        <v>20</v>
      </c>
      <c r="M7" s="29" t="s">
        <v>139</v>
      </c>
      <c r="N7" t="s">
        <v>140</v>
      </c>
      <c r="O7" s="11">
        <v>3</v>
      </c>
      <c r="P7" s="10" t="s">
        <v>65</v>
      </c>
      <c r="Q7" s="29" t="s">
        <v>66</v>
      </c>
      <c r="R7" s="29" t="str">
        <f ca="1">VLOOKUP($S7,Legend!$A$12:$F$19,2,FALSE)</f>
        <v>Petric Calcisols</v>
      </c>
      <c r="S7" s="29" t="str">
        <f ca="1">VLOOKUP($S7,Legend!$A$12:$F$19,3,FALSE)</f>
        <v>Calcisol</v>
      </c>
      <c r="T7" s="29" t="str">
        <f ca="1">VLOOKUP($T7,Legend!$A$12:$F$19,4,FALSE)</f>
        <v>Petrocalcic hardpan / restricted rooting</v>
      </c>
      <c r="U7" s="29" t="str">
        <f ca="1">VLOOKUP($T7,Legend!$A$12:$F$19,5,FALSE)</f>
        <v>Low</v>
      </c>
      <c r="V7" s="11">
        <v>2</v>
      </c>
      <c r="W7" s="10" t="s">
        <v>191</v>
      </c>
      <c r="X7" s="29" t="s">
        <v>192</v>
      </c>
      <c r="Y7" s="11">
        <v>4</v>
      </c>
    </row>
    <row r="8" spans="1:26" x14ac:dyDescent="0.25">
      <c r="A8" s="26" t="s">
        <v>321</v>
      </c>
      <c r="B8" s="28">
        <v>672158</v>
      </c>
      <c r="C8" s="28">
        <v>3905111</v>
      </c>
      <c r="D8" s="16" t="s">
        <v>72</v>
      </c>
      <c r="E8" s="16" t="s">
        <v>72</v>
      </c>
      <c r="F8" s="15">
        <v>515.02767700000004</v>
      </c>
      <c r="G8" s="15">
        <v>1423.0462030000001</v>
      </c>
      <c r="H8" s="10">
        <v>231.404584</v>
      </c>
      <c r="I8" s="29">
        <v>225.767077</v>
      </c>
      <c r="J8" s="29">
        <v>506.62242900000001</v>
      </c>
      <c r="K8" s="11">
        <v>515.02767700000004</v>
      </c>
      <c r="L8" t="s">
        <v>20</v>
      </c>
      <c r="M8" s="29" t="s">
        <v>139</v>
      </c>
      <c r="N8" t="s">
        <v>140</v>
      </c>
      <c r="O8" s="11">
        <v>3</v>
      </c>
      <c r="P8" s="10" t="s">
        <v>65</v>
      </c>
      <c r="Q8" s="29" t="s">
        <v>66</v>
      </c>
      <c r="R8" s="29" t="str">
        <f ca="1">VLOOKUP($S8,Legend!$A$12:$F$19,2,FALSE)</f>
        <v>Petric Calcisols</v>
      </c>
      <c r="S8" s="29" t="str">
        <f ca="1">VLOOKUP($S8,Legend!$A$12:$F$19,3,FALSE)</f>
        <v>Calcisol</v>
      </c>
      <c r="T8" s="29" t="str">
        <f ca="1">VLOOKUP($T8,Legend!$A$12:$F$19,4,FALSE)</f>
        <v>Petrocalcic hardpan / restricted rooting</v>
      </c>
      <c r="U8" s="29" t="str">
        <f ca="1">VLOOKUP($T8,Legend!$A$12:$F$19,5,FALSE)</f>
        <v>Low</v>
      </c>
      <c r="V8" s="11">
        <v>2</v>
      </c>
      <c r="W8" s="10" t="s">
        <v>191</v>
      </c>
      <c r="X8" s="29" t="s">
        <v>192</v>
      </c>
      <c r="Y8" s="11">
        <v>4</v>
      </c>
    </row>
    <row r="9" spans="1:26" x14ac:dyDescent="0.25">
      <c r="A9" s="26" t="s">
        <v>319</v>
      </c>
      <c r="B9" s="28">
        <v>672714</v>
      </c>
      <c r="C9" s="28">
        <v>3905546</v>
      </c>
      <c r="D9" t="s">
        <v>320</v>
      </c>
      <c r="E9" s="16" t="s">
        <v>72</v>
      </c>
      <c r="F9" s="15">
        <v>133.899216</v>
      </c>
      <c r="G9" s="15">
        <v>1607.3478339999999</v>
      </c>
      <c r="H9" s="10">
        <v>133.899216</v>
      </c>
      <c r="I9" s="29">
        <v>133.89921100000001</v>
      </c>
      <c r="J9" s="29">
        <v>133.899216</v>
      </c>
      <c r="K9" s="11">
        <v>133.899216</v>
      </c>
      <c r="L9" t="s">
        <v>20</v>
      </c>
      <c r="M9" s="29" t="s">
        <v>139</v>
      </c>
      <c r="N9" t="s">
        <v>140</v>
      </c>
      <c r="O9" s="11">
        <v>3</v>
      </c>
      <c r="P9" s="10" t="s">
        <v>65</v>
      </c>
      <c r="Q9" s="29" t="s">
        <v>66</v>
      </c>
      <c r="R9" s="29" t="str">
        <f ca="1">VLOOKUP($S9,Legend!$A$12:$F$19,2,FALSE)</f>
        <v>Petric Calcisols</v>
      </c>
      <c r="S9" s="29" t="str">
        <f ca="1">VLOOKUP($S9,Legend!$A$12:$F$19,3,FALSE)</f>
        <v>Calcisol</v>
      </c>
      <c r="T9" s="29" t="str">
        <f ca="1">VLOOKUP($T9,Legend!$A$12:$F$19,4,FALSE)</f>
        <v>Petrocalcic hardpan / restricted rooting</v>
      </c>
      <c r="U9" s="29" t="str">
        <f ca="1">VLOOKUP($T9,Legend!$A$12:$F$19,5,FALSE)</f>
        <v>Low</v>
      </c>
      <c r="V9" s="11">
        <v>2</v>
      </c>
      <c r="W9" s="10" t="s">
        <v>191</v>
      </c>
      <c r="X9" s="29" t="s">
        <v>192</v>
      </c>
      <c r="Y9" s="11">
        <v>4</v>
      </c>
    </row>
    <row r="10" spans="1:26" x14ac:dyDescent="0.25">
      <c r="A10" s="26" t="s">
        <v>298</v>
      </c>
      <c r="B10" s="28">
        <v>675371</v>
      </c>
      <c r="C10" s="28">
        <v>3904906</v>
      </c>
      <c r="D10" s="25" t="s">
        <v>299</v>
      </c>
      <c r="E10" s="16" t="s">
        <v>72</v>
      </c>
      <c r="F10" s="15">
        <v>54.54092</v>
      </c>
      <c r="G10" s="15">
        <v>4243.7799519999999</v>
      </c>
      <c r="H10" s="10">
        <v>54.54092</v>
      </c>
      <c r="I10" s="29">
        <v>54.540900000000001</v>
      </c>
      <c r="J10" s="29">
        <v>54.54092</v>
      </c>
      <c r="K10" s="11">
        <v>54.54092</v>
      </c>
      <c r="L10" t="s">
        <v>20</v>
      </c>
      <c r="M10" s="29" t="s">
        <v>139</v>
      </c>
      <c r="N10" t="s">
        <v>140</v>
      </c>
      <c r="O10" s="11">
        <v>3</v>
      </c>
      <c r="P10" s="10" t="s">
        <v>36</v>
      </c>
      <c r="Q10" s="29" t="s">
        <v>66</v>
      </c>
      <c r="R10" s="29" t="str">
        <f ca="1">VLOOKUP($S10,Legend!$A$12:$F$19,2,FALSE)</f>
        <v>Petric Calcisols</v>
      </c>
      <c r="S10" s="29" t="str">
        <f ca="1">VLOOKUP($S10,Legend!$A$12:$F$19,3,FALSE)</f>
        <v>Calcisol</v>
      </c>
      <c r="T10" s="29" t="str">
        <f ca="1">VLOOKUP($T10,Legend!$A$12:$F$19,4,FALSE)</f>
        <v>Petrocalcic hardpan / restricted rooting</v>
      </c>
      <c r="U10" s="29" t="str">
        <f ca="1">VLOOKUP($T10,Legend!$A$12:$F$19,5,FALSE)</f>
        <v>Low</v>
      </c>
      <c r="V10" s="11">
        <v>2</v>
      </c>
      <c r="W10" s="10" t="s">
        <v>193</v>
      </c>
      <c r="X10" s="29" t="s">
        <v>195</v>
      </c>
      <c r="Y10" s="11">
        <v>3</v>
      </c>
    </row>
    <row r="11" spans="1:26" x14ac:dyDescent="0.25">
      <c r="A11" s="26" t="s">
        <v>317</v>
      </c>
      <c r="B11" s="28">
        <v>674256</v>
      </c>
      <c r="C11" s="28">
        <v>3906143</v>
      </c>
      <c r="D11" t="s">
        <v>318</v>
      </c>
      <c r="E11" s="16" t="s">
        <v>72</v>
      </c>
      <c r="F11" s="15">
        <v>1012.361388</v>
      </c>
      <c r="G11" s="15">
        <v>2667.574063</v>
      </c>
      <c r="H11" s="10">
        <v>7.2192280000000002</v>
      </c>
      <c r="I11" s="29">
        <v>7.2192280000000002</v>
      </c>
      <c r="J11" s="29">
        <v>7.2192280000000002</v>
      </c>
      <c r="K11" s="11">
        <v>1012.361388</v>
      </c>
      <c r="L11" t="s">
        <v>20</v>
      </c>
      <c r="M11" s="29" t="s">
        <v>139</v>
      </c>
      <c r="N11" t="s">
        <v>140</v>
      </c>
      <c r="O11" s="11">
        <v>3</v>
      </c>
      <c r="P11" s="10" t="s">
        <v>65</v>
      </c>
      <c r="Q11" s="29" t="s">
        <v>66</v>
      </c>
      <c r="R11" s="29" t="str">
        <f ca="1">VLOOKUP($S11,Legend!$A$12:$F$19,2,FALSE)</f>
        <v>Petric Calcisols</v>
      </c>
      <c r="S11" s="29" t="str">
        <f ca="1">VLOOKUP($S11,Legend!$A$12:$F$19,3,FALSE)</f>
        <v>Calcisol</v>
      </c>
      <c r="T11" s="29" t="str">
        <f ca="1">VLOOKUP($T11,Legend!$A$12:$F$19,4,FALSE)</f>
        <v>Petrocalcic hardpan / restricted rooting</v>
      </c>
      <c r="U11" s="29" t="str">
        <f ca="1">VLOOKUP($T11,Legend!$A$12:$F$19,5,FALSE)</f>
        <v>Low</v>
      </c>
      <c r="V11" s="11">
        <v>2</v>
      </c>
      <c r="W11" s="10" t="s">
        <v>193</v>
      </c>
      <c r="X11" s="29" t="s">
        <v>195</v>
      </c>
      <c r="Y11" s="11">
        <v>3</v>
      </c>
    </row>
    <row r="12" spans="1:26" x14ac:dyDescent="0.25">
      <c r="A12" s="26" t="s">
        <v>274</v>
      </c>
      <c r="B12" s="28">
        <v>674496</v>
      </c>
      <c r="C12" s="28">
        <v>3908159</v>
      </c>
      <c r="D12" s="25" t="s">
        <v>275</v>
      </c>
      <c r="E12" s="16" t="s">
        <v>72</v>
      </c>
      <c r="F12" s="15">
        <v>122.271609</v>
      </c>
      <c r="G12" s="15">
        <v>1787.1741770000001</v>
      </c>
      <c r="H12" s="10">
        <v>122.271609</v>
      </c>
      <c r="I12" s="29">
        <v>122.271607</v>
      </c>
      <c r="J12" s="29">
        <v>122.271609</v>
      </c>
      <c r="K12" s="11">
        <v>122.271609</v>
      </c>
      <c r="L12" t="s">
        <v>20</v>
      </c>
      <c r="M12" s="29" t="s">
        <v>139</v>
      </c>
      <c r="N12" t="s">
        <v>140</v>
      </c>
      <c r="O12" s="11">
        <v>3</v>
      </c>
      <c r="P12" s="10" t="s">
        <v>65</v>
      </c>
      <c r="Q12" s="29" t="s">
        <v>66</v>
      </c>
      <c r="R12" s="29" t="str">
        <f ca="1">VLOOKUP($S12,Legend!$A$12:$F$19,2,FALSE)</f>
        <v>Petric Calcisols</v>
      </c>
      <c r="S12" s="29" t="str">
        <f ca="1">VLOOKUP($S12,Legend!$A$12:$F$19,3,FALSE)</f>
        <v>Calcisol</v>
      </c>
      <c r="T12" s="29" t="str">
        <f ca="1">VLOOKUP($T12,Legend!$A$12:$F$19,4,FALSE)</f>
        <v>Petrocalcic hardpan / restricted rooting</v>
      </c>
      <c r="U12" s="29" t="str">
        <f ca="1">VLOOKUP($T12,Legend!$A$12:$F$19,5,FALSE)</f>
        <v>Low</v>
      </c>
      <c r="V12" s="11">
        <v>2</v>
      </c>
      <c r="W12" s="10" t="s">
        <v>191</v>
      </c>
      <c r="X12" s="29" t="s">
        <v>192</v>
      </c>
      <c r="Y12" s="11">
        <v>4</v>
      </c>
    </row>
    <row r="13" spans="1:26" x14ac:dyDescent="0.25">
      <c r="A13" s="26" t="s">
        <v>272</v>
      </c>
      <c r="B13" s="28">
        <v>673456</v>
      </c>
      <c r="C13" s="28">
        <v>3908909</v>
      </c>
      <c r="D13" t="s">
        <v>273</v>
      </c>
      <c r="E13" s="16" t="s">
        <v>72</v>
      </c>
      <c r="F13" s="15">
        <v>989.83632</v>
      </c>
      <c r="G13" s="15">
        <v>505.00322999999997</v>
      </c>
      <c r="H13" s="10">
        <v>259.62868700000001</v>
      </c>
      <c r="I13" s="29">
        <v>259.640265</v>
      </c>
      <c r="J13" s="29">
        <v>355.44145700000001</v>
      </c>
      <c r="K13" s="11">
        <v>989.83632</v>
      </c>
      <c r="L13" t="s">
        <v>20</v>
      </c>
      <c r="M13" s="29" t="s">
        <v>139</v>
      </c>
      <c r="N13" t="s">
        <v>140</v>
      </c>
      <c r="O13" s="11">
        <v>3</v>
      </c>
      <c r="P13" s="10" t="s">
        <v>36</v>
      </c>
      <c r="Q13" s="29" t="s">
        <v>66</v>
      </c>
      <c r="R13" s="29" t="str">
        <f ca="1">VLOOKUP($S13,Legend!$A$12:$F$19,2,FALSE)</f>
        <v>Petric Calcisols</v>
      </c>
      <c r="S13" s="29" t="str">
        <f ca="1">VLOOKUP($S13,Legend!$A$12:$F$19,3,FALSE)</f>
        <v>Calcisol</v>
      </c>
      <c r="T13" s="29" t="str">
        <f ca="1">VLOOKUP($T13,Legend!$A$12:$F$19,4,FALSE)</f>
        <v>Petrocalcic hardpan / restricted rooting</v>
      </c>
      <c r="U13" s="29" t="str">
        <f ca="1">VLOOKUP($T13,Legend!$A$12:$F$19,5,FALSE)</f>
        <v>Low</v>
      </c>
      <c r="V13" s="11">
        <v>2</v>
      </c>
      <c r="W13" s="10" t="s">
        <v>191</v>
      </c>
      <c r="X13" s="29" t="s">
        <v>192</v>
      </c>
      <c r="Y13" s="11">
        <v>4</v>
      </c>
    </row>
    <row r="14" spans="1:26" x14ac:dyDescent="0.25">
      <c r="A14" s="26" t="s">
        <v>261</v>
      </c>
      <c r="B14" s="28">
        <v>674155</v>
      </c>
      <c r="C14" s="28">
        <v>3909912</v>
      </c>
      <c r="D14" s="27" t="s">
        <v>72</v>
      </c>
      <c r="E14" t="s">
        <v>345</v>
      </c>
      <c r="F14" s="15">
        <v>616.61077299999999</v>
      </c>
      <c r="G14" s="15">
        <v>535.02377999999999</v>
      </c>
      <c r="H14" s="10">
        <v>589.382204</v>
      </c>
      <c r="I14" s="29">
        <v>616.61081300000001</v>
      </c>
      <c r="J14" s="29">
        <v>616.61077299999999</v>
      </c>
      <c r="K14" s="11">
        <v>616.61077299999999</v>
      </c>
      <c r="L14" t="s">
        <v>20</v>
      </c>
      <c r="M14" s="29" t="s">
        <v>139</v>
      </c>
      <c r="N14" t="s">
        <v>140</v>
      </c>
      <c r="O14" s="11">
        <v>3</v>
      </c>
      <c r="P14" s="10" t="s">
        <v>36</v>
      </c>
      <c r="Q14" s="29" t="s">
        <v>66</v>
      </c>
      <c r="R14" s="29" t="str">
        <f ca="1">VLOOKUP($S14,Legend!$A$12:$F$19,2,FALSE)</f>
        <v>Petric Calcisols</v>
      </c>
      <c r="S14" s="29" t="str">
        <f ca="1">VLOOKUP($S14,Legend!$A$12:$F$19,3,FALSE)</f>
        <v>Calcisol</v>
      </c>
      <c r="T14" s="29" t="str">
        <f ca="1">VLOOKUP($T14,Legend!$A$12:$F$19,4,FALSE)</f>
        <v>Petrocalcic hardpan / restricted rooting</v>
      </c>
      <c r="U14" s="29" t="str">
        <f ca="1">VLOOKUP($T14,Legend!$A$12:$F$19,5,FALSE)</f>
        <v>Low</v>
      </c>
      <c r="V14" s="11">
        <v>2</v>
      </c>
      <c r="W14" s="10" t="s">
        <v>191</v>
      </c>
      <c r="X14" s="29" t="s">
        <v>192</v>
      </c>
      <c r="Y14" s="11">
        <v>4</v>
      </c>
    </row>
    <row r="15" spans="1:26" x14ac:dyDescent="0.25">
      <c r="A15" s="26" t="s">
        <v>260</v>
      </c>
      <c r="B15" s="28">
        <v>674747</v>
      </c>
      <c r="C15" s="28">
        <v>3910144</v>
      </c>
      <c r="D15" s="27" t="s">
        <v>72</v>
      </c>
      <c r="E15" t="s">
        <v>345</v>
      </c>
      <c r="F15" s="15">
        <v>222.07216099999999</v>
      </c>
      <c r="G15" s="15">
        <v>997.58391099999994</v>
      </c>
      <c r="H15" s="10">
        <v>240.113248</v>
      </c>
      <c r="I15" s="29">
        <v>222.072183</v>
      </c>
      <c r="J15" s="29">
        <v>222.07216099999999</v>
      </c>
      <c r="K15" s="11">
        <v>222.07216099999999</v>
      </c>
      <c r="L15" t="s">
        <v>20</v>
      </c>
      <c r="M15" s="29" t="s">
        <v>139</v>
      </c>
      <c r="N15" t="s">
        <v>140</v>
      </c>
      <c r="O15" s="11">
        <v>3</v>
      </c>
      <c r="P15" s="10" t="s">
        <v>36</v>
      </c>
      <c r="Q15" s="29" t="s">
        <v>66</v>
      </c>
      <c r="R15" s="29" t="str">
        <f ca="1">VLOOKUP($S15,Legend!$A$12:$F$19,2,FALSE)</f>
        <v>Petric Calcisols</v>
      </c>
      <c r="S15" s="29" t="str">
        <f ca="1">VLOOKUP($S15,Legend!$A$12:$F$19,3,FALSE)</f>
        <v>Calcisol</v>
      </c>
      <c r="T15" s="29" t="str">
        <f ca="1">VLOOKUP($T15,Legend!$A$12:$F$19,4,FALSE)</f>
        <v>Petrocalcic hardpan / restricted rooting</v>
      </c>
      <c r="U15" s="29" t="str">
        <f ca="1">VLOOKUP($T15,Legend!$A$12:$F$19,5,FALSE)</f>
        <v>Low</v>
      </c>
      <c r="V15" s="11">
        <v>2</v>
      </c>
      <c r="W15" s="10" t="s">
        <v>191</v>
      </c>
      <c r="X15" s="29" t="s">
        <v>192</v>
      </c>
      <c r="Y15" s="11">
        <v>4</v>
      </c>
    </row>
    <row r="16" spans="1:26" x14ac:dyDescent="0.25">
      <c r="A16" s="26" t="s">
        <v>262</v>
      </c>
      <c r="B16" s="28">
        <v>673800</v>
      </c>
      <c r="C16" s="28">
        <v>3910462</v>
      </c>
      <c r="D16" s="27" t="s">
        <v>72</v>
      </c>
      <c r="E16" s="16" t="s">
        <v>72</v>
      </c>
      <c r="F16" s="15">
        <v>334.38118200000002</v>
      </c>
      <c r="G16" s="15">
        <v>0.28970699999999999</v>
      </c>
      <c r="H16" s="10">
        <v>204.32426599999999</v>
      </c>
      <c r="I16" s="29">
        <v>204.32431299999999</v>
      </c>
      <c r="J16" s="29">
        <v>204.32426599999999</v>
      </c>
      <c r="K16" s="11">
        <v>334.38118200000002</v>
      </c>
      <c r="L16" t="s">
        <v>20</v>
      </c>
      <c r="M16" s="29" t="s">
        <v>139</v>
      </c>
      <c r="N16" t="s">
        <v>140</v>
      </c>
      <c r="O16" s="11">
        <v>3</v>
      </c>
      <c r="P16" s="10" t="s">
        <v>36</v>
      </c>
      <c r="Q16" s="29" t="s">
        <v>66</v>
      </c>
      <c r="R16" s="29" t="str">
        <f ca="1">VLOOKUP($S16,Legend!$A$12:$F$19,2,FALSE)</f>
        <v>Petric Calcisols</v>
      </c>
      <c r="S16" s="29" t="str">
        <f ca="1">VLOOKUP($S16,Legend!$A$12:$F$19,3,FALSE)</f>
        <v>Calcisol</v>
      </c>
      <c r="T16" s="29" t="str">
        <f ca="1">VLOOKUP($T16,Legend!$A$12:$F$19,4,FALSE)</f>
        <v>Petrocalcic hardpan / restricted rooting</v>
      </c>
      <c r="U16" s="29" t="str">
        <f ca="1">VLOOKUP($T16,Legend!$A$12:$F$19,5,FALSE)</f>
        <v>Low</v>
      </c>
      <c r="V16" s="11">
        <v>2</v>
      </c>
      <c r="W16" s="10" t="s">
        <v>191</v>
      </c>
      <c r="X16" s="29" t="s">
        <v>192</v>
      </c>
      <c r="Y16" s="11">
        <v>4</v>
      </c>
    </row>
    <row r="17" spans="1:25" x14ac:dyDescent="0.25">
      <c r="A17" s="26" t="s">
        <v>263</v>
      </c>
      <c r="B17" s="28">
        <v>674483</v>
      </c>
      <c r="C17" s="28">
        <v>3911483</v>
      </c>
      <c r="D17" t="s">
        <v>264</v>
      </c>
      <c r="E17" s="16" t="s">
        <v>72</v>
      </c>
      <c r="F17" s="15">
        <v>441.11641600000002</v>
      </c>
      <c r="G17" s="15">
        <v>21.319329</v>
      </c>
      <c r="H17" s="10">
        <v>441.11641600000002</v>
      </c>
      <c r="I17" s="29">
        <v>441.11642899999998</v>
      </c>
      <c r="J17" s="29">
        <v>441.11641600000002</v>
      </c>
      <c r="K17" s="11">
        <v>441.11641600000002</v>
      </c>
      <c r="L17" t="s">
        <v>20</v>
      </c>
      <c r="M17" s="29" t="s">
        <v>139</v>
      </c>
      <c r="N17" t="s">
        <v>140</v>
      </c>
      <c r="O17" s="11">
        <v>3</v>
      </c>
      <c r="P17" s="10" t="s">
        <v>36</v>
      </c>
      <c r="Q17" s="29" t="s">
        <v>66</v>
      </c>
      <c r="R17" s="29" t="str">
        <f ca="1">VLOOKUP($S17,Legend!$A$12:$F$19,2,FALSE)</f>
        <v>Petric Calcisols</v>
      </c>
      <c r="S17" s="29" t="str">
        <f ca="1">VLOOKUP($S17,Legend!$A$12:$F$19,3,FALSE)</f>
        <v>Calcisol</v>
      </c>
      <c r="T17" s="29" t="str">
        <f ca="1">VLOOKUP($T17,Legend!$A$12:$F$19,4,FALSE)</f>
        <v>Petrocalcic hardpan / restricted rooting</v>
      </c>
      <c r="U17" s="29" t="str">
        <f ca="1">VLOOKUP($T17,Legend!$A$12:$F$19,5,FALSE)</f>
        <v>Low</v>
      </c>
      <c r="V17" s="11">
        <v>2</v>
      </c>
      <c r="W17" s="10" t="s">
        <v>191</v>
      </c>
      <c r="X17" s="29" t="s">
        <v>192</v>
      </c>
      <c r="Y17" s="11">
        <v>4</v>
      </c>
    </row>
    <row r="18" spans="1:25" x14ac:dyDescent="0.25">
      <c r="A18" s="26" t="s">
        <v>270</v>
      </c>
      <c r="B18" s="28">
        <v>677105</v>
      </c>
      <c r="C18" s="28">
        <v>3910330</v>
      </c>
      <c r="D18" t="s">
        <v>271</v>
      </c>
      <c r="E18" s="16" t="s">
        <v>364</v>
      </c>
      <c r="F18" s="15">
        <v>187.952427</v>
      </c>
      <c r="G18" s="15">
        <v>2632.3919169999999</v>
      </c>
      <c r="H18" s="10">
        <v>187.952427</v>
      </c>
      <c r="I18" s="29">
        <v>187.95240799999999</v>
      </c>
      <c r="J18" s="29">
        <v>187.952427</v>
      </c>
      <c r="K18" s="11">
        <v>187.952427</v>
      </c>
      <c r="L18" t="s">
        <v>20</v>
      </c>
      <c r="M18" s="29" t="s">
        <v>139</v>
      </c>
      <c r="N18" t="s">
        <v>140</v>
      </c>
      <c r="O18" s="11">
        <v>3</v>
      </c>
      <c r="P18" s="10" t="s">
        <v>65</v>
      </c>
      <c r="Q18" s="29" t="s">
        <v>66</v>
      </c>
      <c r="R18" s="29" t="str">
        <f ca="1">VLOOKUP($S18,Legend!$A$12:$F$19,2,FALSE)</f>
        <v>Petric Calcisols</v>
      </c>
      <c r="S18" s="29" t="str">
        <f ca="1">VLOOKUP($S18,Legend!$A$12:$F$19,3,FALSE)</f>
        <v>Calcisol</v>
      </c>
      <c r="T18" s="29" t="str">
        <f ca="1">VLOOKUP($T18,Legend!$A$12:$F$19,4,FALSE)</f>
        <v>Petrocalcic hardpan / restricted rooting</v>
      </c>
      <c r="U18" s="29" t="str">
        <f ca="1">VLOOKUP($T18,Legend!$A$12:$F$19,5,FALSE)</f>
        <v>Low</v>
      </c>
      <c r="V18" s="11">
        <v>2</v>
      </c>
      <c r="W18" s="10" t="s">
        <v>191</v>
      </c>
      <c r="X18" s="29" t="s">
        <v>192</v>
      </c>
      <c r="Y18" s="11">
        <v>4</v>
      </c>
    </row>
    <row r="19" spans="1:25" x14ac:dyDescent="0.25">
      <c r="A19" s="26" t="s">
        <v>276</v>
      </c>
      <c r="B19" s="28">
        <v>678188</v>
      </c>
      <c r="C19" s="28">
        <v>3908273</v>
      </c>
      <c r="D19" t="s">
        <v>277</v>
      </c>
      <c r="E19" s="16" t="s">
        <v>72</v>
      </c>
      <c r="F19" s="15">
        <v>858.28646300000003</v>
      </c>
      <c r="G19" s="15">
        <v>4878.9012149999999</v>
      </c>
      <c r="H19" s="10">
        <v>247.32685599999999</v>
      </c>
      <c r="I19" s="29">
        <v>247.32689999999999</v>
      </c>
      <c r="J19" s="29">
        <v>247.32685599999999</v>
      </c>
      <c r="K19" s="11">
        <v>858.28646300000003</v>
      </c>
      <c r="L19" t="s">
        <v>20</v>
      </c>
      <c r="M19" s="29" t="s">
        <v>139</v>
      </c>
      <c r="N19" t="s">
        <v>140</v>
      </c>
      <c r="O19" s="11">
        <v>3</v>
      </c>
      <c r="P19" s="10" t="s">
        <v>25</v>
      </c>
      <c r="Q19" s="29" t="s">
        <v>58</v>
      </c>
      <c r="R19" s="29" t="str">
        <f ca="1">VLOOKUP($T19,Legend!$A$12:$F$19,2,FALSE)</f>
        <v>Eutric Fluvisols</v>
      </c>
      <c r="S19" s="29" t="str">
        <f ca="1">VLOOKUP($T19,Legend!$A$12:$F$19,3,FALSE)</f>
        <v>Fluvisol</v>
      </c>
      <c r="T19" s="29" t="str">
        <f ca="1">VLOOKUP($T19,Legend!$A$12:$F$19,4,FALSE)</f>
        <v>Alluvial soil; generally fertile</v>
      </c>
      <c r="U19" s="29" t="s">
        <v>133</v>
      </c>
      <c r="V19" s="11">
        <v>4</v>
      </c>
      <c r="W19" s="10" t="s">
        <v>191</v>
      </c>
      <c r="X19" s="29" t="s">
        <v>192</v>
      </c>
      <c r="Y19" s="11">
        <v>4</v>
      </c>
    </row>
    <row r="20" spans="1:25" x14ac:dyDescent="0.25">
      <c r="A20" s="26" t="s">
        <v>278</v>
      </c>
      <c r="B20" s="28">
        <v>676926</v>
      </c>
      <c r="C20" s="28">
        <v>3907006</v>
      </c>
      <c r="D20" t="s">
        <v>279</v>
      </c>
      <c r="E20" s="16" t="s">
        <v>72</v>
      </c>
      <c r="F20" s="15">
        <v>434.10537399999998</v>
      </c>
      <c r="G20" s="15">
        <v>4427.9957080000004</v>
      </c>
      <c r="H20" s="10">
        <v>24.224267000000001</v>
      </c>
      <c r="I20" s="29">
        <v>24.224253000000001</v>
      </c>
      <c r="J20" s="29">
        <v>112.28706</v>
      </c>
      <c r="K20" s="11">
        <v>434.10537399999998</v>
      </c>
      <c r="L20" t="s">
        <v>20</v>
      </c>
      <c r="M20" s="29" t="s">
        <v>139</v>
      </c>
      <c r="N20" t="s">
        <v>140</v>
      </c>
      <c r="O20" s="11">
        <v>3</v>
      </c>
      <c r="P20" s="10" t="s">
        <v>65</v>
      </c>
      <c r="Q20" s="29" t="s">
        <v>66</v>
      </c>
      <c r="R20" s="29" t="str">
        <f ca="1">VLOOKUP($S20,Legend!$A$12:$F$19,2,FALSE)</f>
        <v>Petric Calcisols</v>
      </c>
      <c r="S20" s="29" t="str">
        <f ca="1">VLOOKUP($S20,Legend!$A$12:$F$19,3,FALSE)</f>
        <v>Calcisol</v>
      </c>
      <c r="T20" s="29" t="str">
        <f ca="1">VLOOKUP($T20,Legend!$A$12:$F$19,4,FALSE)</f>
        <v>Petrocalcic hardpan / restricted rooting</v>
      </c>
      <c r="U20" s="29" t="s">
        <v>149</v>
      </c>
      <c r="V20" s="11">
        <v>2</v>
      </c>
      <c r="W20" s="10" t="s">
        <v>193</v>
      </c>
      <c r="X20" s="29" t="s">
        <v>195</v>
      </c>
      <c r="Y20" s="11">
        <v>3</v>
      </c>
    </row>
    <row r="21" spans="1:25" x14ac:dyDescent="0.25">
      <c r="A21" s="26" t="s">
        <v>286</v>
      </c>
      <c r="B21" s="28">
        <v>677896</v>
      </c>
      <c r="C21" s="28">
        <v>3905538</v>
      </c>
      <c r="D21" t="s">
        <v>287</v>
      </c>
      <c r="E21" s="16" t="s">
        <v>363</v>
      </c>
      <c r="F21" s="15">
        <v>109.52525300000001</v>
      </c>
      <c r="G21" s="15">
        <v>6079.03424</v>
      </c>
      <c r="H21" s="10">
        <v>109.52525300000001</v>
      </c>
      <c r="I21" s="29">
        <v>109.5253</v>
      </c>
      <c r="J21" s="29">
        <v>109.52525300000001</v>
      </c>
      <c r="K21" s="11">
        <v>109.52525300000001</v>
      </c>
      <c r="L21" t="s">
        <v>20</v>
      </c>
      <c r="M21" s="29" t="s">
        <v>139</v>
      </c>
      <c r="N21" t="s">
        <v>140</v>
      </c>
      <c r="O21" s="11">
        <v>3</v>
      </c>
      <c r="P21" s="10" t="s">
        <v>36</v>
      </c>
      <c r="Q21" s="29" t="s">
        <v>66</v>
      </c>
      <c r="R21" s="29" t="str">
        <f ca="1">VLOOKUP($S21,Legend!$A$12:$F$19,2,FALSE)</f>
        <v>Petric Calcisols</v>
      </c>
      <c r="S21" s="29" t="str">
        <f ca="1">VLOOKUP($S21,Legend!$A$12:$F$19,3,FALSE)</f>
        <v>Calcisol</v>
      </c>
      <c r="T21" s="29" t="str">
        <f ca="1">VLOOKUP($T21,Legend!$A$12:$F$19,4,FALSE)</f>
        <v>Petrocalcic hardpan / restricted rooting</v>
      </c>
      <c r="U21" s="29" t="str">
        <f ca="1">VLOOKUP($T21,Legend!$A$12:$F$19,5,FALSE)</f>
        <v>Low</v>
      </c>
      <c r="V21" s="11">
        <v>2</v>
      </c>
      <c r="W21" s="10" t="s">
        <v>193</v>
      </c>
      <c r="X21" s="29" t="s">
        <v>195</v>
      </c>
      <c r="Y21" s="11">
        <v>3</v>
      </c>
    </row>
    <row r="22" spans="1:25" x14ac:dyDescent="0.25">
      <c r="A22" s="26" t="s">
        <v>288</v>
      </c>
      <c r="B22" s="28">
        <v>678152</v>
      </c>
      <c r="C22" s="28">
        <v>3904749</v>
      </c>
      <c r="D22" t="s">
        <v>289</v>
      </c>
      <c r="E22" s="16" t="s">
        <v>363</v>
      </c>
      <c r="F22" s="15">
        <v>136.43447499999999</v>
      </c>
      <c r="G22" s="15">
        <v>6761.7279920000001</v>
      </c>
      <c r="H22" s="10">
        <v>135.32925299999999</v>
      </c>
      <c r="I22" s="29">
        <v>135.329229</v>
      </c>
      <c r="J22" s="29">
        <v>136.43447499999999</v>
      </c>
      <c r="K22" s="11">
        <v>136.43447499999999</v>
      </c>
      <c r="L22" t="s">
        <v>20</v>
      </c>
      <c r="M22" s="29" t="s">
        <v>139</v>
      </c>
      <c r="N22" t="s">
        <v>140</v>
      </c>
      <c r="O22" s="11">
        <v>3</v>
      </c>
      <c r="P22" s="10" t="s">
        <v>36</v>
      </c>
      <c r="Q22" s="29" t="s">
        <v>66</v>
      </c>
      <c r="R22" s="29" t="str">
        <f ca="1">VLOOKUP($S22,Legend!$A$12:$F$19,2,FALSE)</f>
        <v>Petric Calcisols</v>
      </c>
      <c r="S22" s="29" t="str">
        <f ca="1">VLOOKUP($S22,Legend!$A$12:$F$19,3,FALSE)</f>
        <v>Calcisol</v>
      </c>
      <c r="T22" s="29" t="str">
        <f ca="1">VLOOKUP($T22,Legend!$A$12:$F$19,4,FALSE)</f>
        <v>Petrocalcic hardpan / restricted rooting</v>
      </c>
      <c r="U22" s="29" t="str">
        <f ca="1">VLOOKUP($T22,Legend!$A$12:$F$19,5,FALSE)</f>
        <v>Low</v>
      </c>
      <c r="V22" s="11">
        <v>2</v>
      </c>
      <c r="W22" s="10" t="s">
        <v>193</v>
      </c>
      <c r="X22" s="29" t="s">
        <v>195</v>
      </c>
      <c r="Y22" s="11">
        <v>3</v>
      </c>
    </row>
    <row r="23" spans="1:25" x14ac:dyDescent="0.25">
      <c r="A23" s="26" t="s">
        <v>290</v>
      </c>
      <c r="B23" s="28">
        <v>680243</v>
      </c>
      <c r="C23" s="28">
        <v>3904463</v>
      </c>
      <c r="D23" t="s">
        <v>291</v>
      </c>
      <c r="E23" s="16" t="s">
        <v>72</v>
      </c>
      <c r="F23" s="15">
        <v>26.530752</v>
      </c>
      <c r="G23" s="15">
        <v>6263.1737059999996</v>
      </c>
      <c r="H23" s="10">
        <v>29.428221000000001</v>
      </c>
      <c r="I23" s="29">
        <v>29.428211999999998</v>
      </c>
      <c r="J23" s="29">
        <v>26.530752</v>
      </c>
      <c r="K23" s="11">
        <v>26.530752</v>
      </c>
      <c r="L23" t="s">
        <v>20</v>
      </c>
      <c r="M23" s="29" t="s">
        <v>139</v>
      </c>
      <c r="N23" t="s">
        <v>140</v>
      </c>
      <c r="O23" s="11">
        <v>3</v>
      </c>
      <c r="P23" s="10" t="s">
        <v>36</v>
      </c>
      <c r="Q23" s="29" t="s">
        <v>66</v>
      </c>
      <c r="R23" s="29" t="str">
        <f ca="1">VLOOKUP($S23,Legend!$A$12:$F$19,2,FALSE)</f>
        <v>Petric Calcisols</v>
      </c>
      <c r="S23" s="29" t="str">
        <f ca="1">VLOOKUP($S23,Legend!$A$12:$F$19,3,FALSE)</f>
        <v>Calcisol</v>
      </c>
      <c r="T23" s="29" t="str">
        <f ca="1">VLOOKUP($T23,Legend!$A$12:$F$19,4,FALSE)</f>
        <v>Petrocalcic hardpan / restricted rooting</v>
      </c>
      <c r="U23" s="29" t="str">
        <f ca="1">VLOOKUP($T23,Legend!$A$12:$F$19,5,FALSE)</f>
        <v>Low</v>
      </c>
      <c r="V23" s="11">
        <v>2</v>
      </c>
      <c r="W23" s="10" t="s">
        <v>193</v>
      </c>
      <c r="X23" s="29" t="s">
        <v>195</v>
      </c>
      <c r="Y23" s="11">
        <v>3</v>
      </c>
    </row>
    <row r="24" spans="1:25" x14ac:dyDescent="0.25">
      <c r="A24" s="26" t="s">
        <v>284</v>
      </c>
      <c r="B24" s="28">
        <v>678950</v>
      </c>
      <c r="C24" s="28">
        <v>3905598</v>
      </c>
      <c r="D24" t="s">
        <v>285</v>
      </c>
      <c r="E24" s="16" t="s">
        <v>72</v>
      </c>
      <c r="F24" s="15">
        <v>809.69759799999997</v>
      </c>
      <c r="G24" s="15">
        <v>6893.136442</v>
      </c>
      <c r="H24" s="10">
        <v>325.25766599999997</v>
      </c>
      <c r="I24" s="29">
        <v>703.72128399999997</v>
      </c>
      <c r="J24" s="29">
        <v>809.69759799999997</v>
      </c>
      <c r="K24" s="11">
        <v>809.69759799999997</v>
      </c>
      <c r="L24" t="s">
        <v>20</v>
      </c>
      <c r="M24" s="29" t="s">
        <v>139</v>
      </c>
      <c r="N24" t="s">
        <v>140</v>
      </c>
      <c r="O24" s="11">
        <v>3</v>
      </c>
      <c r="P24" s="10" t="s">
        <v>36</v>
      </c>
      <c r="Q24" s="29" t="s">
        <v>66</v>
      </c>
      <c r="R24" s="29" t="str">
        <f ca="1">VLOOKUP($S24,Legend!$A$12:$F$19,2,FALSE)</f>
        <v>Petric Calcisols</v>
      </c>
      <c r="S24" s="29" t="str">
        <f ca="1">VLOOKUP($S24,Legend!$A$12:$F$19,3,FALSE)</f>
        <v>Calcisol</v>
      </c>
      <c r="T24" s="29" t="str">
        <f ca="1">VLOOKUP($T24,Legend!$A$12:$F$19,4,FALSE)</f>
        <v>Petrocalcic hardpan / restricted rooting</v>
      </c>
      <c r="U24" s="29" t="str">
        <f ca="1">VLOOKUP($T24,Legend!$A$12:$F$19,5,FALSE)</f>
        <v>Low</v>
      </c>
      <c r="V24" s="11">
        <v>2</v>
      </c>
      <c r="W24" s="10" t="s">
        <v>193</v>
      </c>
      <c r="X24" s="29" t="s">
        <v>195</v>
      </c>
      <c r="Y24" s="11">
        <v>3</v>
      </c>
    </row>
    <row r="25" spans="1:25" x14ac:dyDescent="0.25">
      <c r="A25" s="26" t="s">
        <v>282</v>
      </c>
      <c r="B25" s="28">
        <v>681269</v>
      </c>
      <c r="C25" s="28">
        <v>3906610</v>
      </c>
      <c r="D25" t="s">
        <v>283</v>
      </c>
      <c r="E25" s="16" t="s">
        <v>72</v>
      </c>
      <c r="F25" s="15">
        <v>4.1268469999999997</v>
      </c>
      <c r="G25" s="15">
        <v>4854.9738630000002</v>
      </c>
      <c r="H25" s="10">
        <v>15.566309</v>
      </c>
      <c r="I25" s="29">
        <v>15.566333</v>
      </c>
      <c r="J25" s="29">
        <v>15.566309</v>
      </c>
      <c r="K25" s="11">
        <v>4.1268469999999997</v>
      </c>
      <c r="L25" t="s">
        <v>20</v>
      </c>
      <c r="M25" s="29" t="s">
        <v>139</v>
      </c>
      <c r="N25" t="s">
        <v>140</v>
      </c>
      <c r="O25" s="11">
        <v>3</v>
      </c>
      <c r="P25" s="10" t="s">
        <v>36</v>
      </c>
      <c r="Q25" s="29" t="s">
        <v>66</v>
      </c>
      <c r="R25" s="29" t="str">
        <f ca="1">VLOOKUP($S25,Legend!$A$12:$F$19,2,FALSE)</f>
        <v>Petric Calcisols</v>
      </c>
      <c r="S25" s="29" t="str">
        <f ca="1">VLOOKUP($S25,Legend!$A$12:$F$19,3,FALSE)</f>
        <v>Calcisol</v>
      </c>
      <c r="T25" s="29" t="str">
        <f ca="1">VLOOKUP($T25,Legend!$A$12:$F$19,4,FALSE)</f>
        <v>Petrocalcic hardpan / restricted rooting</v>
      </c>
      <c r="U25" s="29" t="str">
        <f ca="1">VLOOKUP($T25,Legend!$A$12:$F$19,5,FALSE)</f>
        <v>Low</v>
      </c>
      <c r="V25" s="11">
        <v>2</v>
      </c>
      <c r="W25" s="10" t="s">
        <v>193</v>
      </c>
      <c r="X25" s="29" t="s">
        <v>195</v>
      </c>
      <c r="Y25" s="11">
        <v>3</v>
      </c>
    </row>
    <row r="26" spans="1:25" x14ac:dyDescent="0.25">
      <c r="A26" s="26" t="s">
        <v>280</v>
      </c>
      <c r="B26" s="28">
        <v>680882</v>
      </c>
      <c r="C26" s="28">
        <v>3907666</v>
      </c>
      <c r="D26" s="25" t="s">
        <v>281</v>
      </c>
      <c r="E26" s="16" t="s">
        <v>72</v>
      </c>
      <c r="F26" s="15">
        <v>383.26549199999999</v>
      </c>
      <c r="G26" s="15">
        <v>4845.7575139999999</v>
      </c>
      <c r="H26" s="10">
        <v>335.61938500000002</v>
      </c>
      <c r="I26" s="29">
        <v>383.265513</v>
      </c>
      <c r="J26" s="29">
        <v>383.26549199999999</v>
      </c>
      <c r="K26" s="11">
        <v>383.26549199999999</v>
      </c>
      <c r="L26" t="s">
        <v>20</v>
      </c>
      <c r="M26" s="29" t="s">
        <v>139</v>
      </c>
      <c r="N26" t="s">
        <v>140</v>
      </c>
      <c r="O26" s="11">
        <v>3</v>
      </c>
      <c r="P26" s="10" t="s">
        <v>25</v>
      </c>
      <c r="Q26" s="29" t="s">
        <v>58</v>
      </c>
      <c r="R26" s="29" t="str">
        <f ca="1">VLOOKUP($T26,Legend!$A$12:$F$19,2,FALSE)</f>
        <v>Eutric Fluvisols</v>
      </c>
      <c r="S26" s="29" t="str">
        <f ca="1">VLOOKUP($T26,Legend!$A$12:$F$19,3,FALSE)</f>
        <v>Fluvisol</v>
      </c>
      <c r="T26" s="29" t="str">
        <f ca="1">VLOOKUP($T26,Legend!$A$12:$F$19,4,FALSE)</f>
        <v>Alluvial soil; generally fertile</v>
      </c>
      <c r="U26" s="29" t="s">
        <v>133</v>
      </c>
      <c r="V26" s="11">
        <v>4</v>
      </c>
      <c r="W26" s="10" t="s">
        <v>193</v>
      </c>
      <c r="X26" s="29" t="s">
        <v>195</v>
      </c>
      <c r="Y26" s="11">
        <v>3</v>
      </c>
    </row>
    <row r="27" spans="1:25" x14ac:dyDescent="0.25">
      <c r="A27" s="26" t="s">
        <v>257</v>
      </c>
      <c r="B27" s="28">
        <v>679303</v>
      </c>
      <c r="C27" s="28">
        <v>3911494</v>
      </c>
      <c r="D27" s="25" t="s">
        <v>258</v>
      </c>
      <c r="E27" s="16" t="s">
        <v>72</v>
      </c>
      <c r="F27" s="15">
        <v>926.67771800000003</v>
      </c>
      <c r="G27" s="15">
        <v>3595.7760269999999</v>
      </c>
      <c r="H27" s="10">
        <v>224.10223199999999</v>
      </c>
      <c r="I27" s="29">
        <v>224.102261</v>
      </c>
      <c r="J27" s="29">
        <v>224.10223199999999</v>
      </c>
      <c r="K27" s="11">
        <v>926.67771800000003</v>
      </c>
      <c r="L27" t="s">
        <v>20</v>
      </c>
      <c r="M27" s="29" t="s">
        <v>139</v>
      </c>
      <c r="N27" t="s">
        <v>140</v>
      </c>
      <c r="O27" s="11">
        <v>3</v>
      </c>
      <c r="P27" s="10" t="s">
        <v>25</v>
      </c>
      <c r="Q27" s="29" t="s">
        <v>58</v>
      </c>
      <c r="R27" s="29" t="str">
        <f ca="1">VLOOKUP($T27,Legend!$A$12:$F$19,2,FALSE)</f>
        <v>Eutric Fluvisols</v>
      </c>
      <c r="S27" s="29" t="str">
        <f ca="1">VLOOKUP($T27,Legend!$A$12:$F$19,3,FALSE)</f>
        <v>Fluvisol</v>
      </c>
      <c r="T27" s="29" t="str">
        <f ca="1">VLOOKUP($T27,Legend!$A$12:$F$19,4,FALSE)</f>
        <v>Alluvial soil; generally fertile</v>
      </c>
      <c r="U27" s="29" t="s">
        <v>133</v>
      </c>
      <c r="V27" s="11">
        <v>4</v>
      </c>
      <c r="W27" s="10" t="s">
        <v>191</v>
      </c>
      <c r="X27" s="29" t="s">
        <v>192</v>
      </c>
      <c r="Y27" s="11">
        <v>4</v>
      </c>
    </row>
    <row r="28" spans="1:25" x14ac:dyDescent="0.25">
      <c r="A28" s="26" t="s">
        <v>259</v>
      </c>
      <c r="B28" s="28">
        <v>682499</v>
      </c>
      <c r="C28" s="28">
        <v>3910722</v>
      </c>
      <c r="D28" s="16" t="s">
        <v>72</v>
      </c>
      <c r="E28" s="16" t="s">
        <v>72</v>
      </c>
      <c r="F28" s="15">
        <v>388.86782899999997</v>
      </c>
      <c r="G28" s="15">
        <v>2361.0583339999998</v>
      </c>
      <c r="H28" s="10">
        <v>124.464989</v>
      </c>
      <c r="I28" s="29">
        <v>124.465</v>
      </c>
      <c r="J28" s="29">
        <v>280.30683599999998</v>
      </c>
      <c r="K28" s="11">
        <v>388.86782899999997</v>
      </c>
      <c r="L28" t="s">
        <v>20</v>
      </c>
      <c r="M28" s="29" t="s">
        <v>139</v>
      </c>
      <c r="N28" t="s">
        <v>140</v>
      </c>
      <c r="O28" s="11">
        <v>3</v>
      </c>
      <c r="P28" s="10" t="s">
        <v>25</v>
      </c>
      <c r="Q28" s="29" t="s">
        <v>58</v>
      </c>
      <c r="R28" s="29" t="str">
        <f ca="1">VLOOKUP($T28,Legend!$A$12:$F$19,2,FALSE)</f>
        <v>Eutric Fluvisols</v>
      </c>
      <c r="S28" s="29" t="str">
        <f ca="1">VLOOKUP($T28,Legend!$A$12:$F$19,3,FALSE)</f>
        <v>Fluvisol</v>
      </c>
      <c r="T28" s="29" t="str">
        <f ca="1">VLOOKUP($T28,Legend!$A$12:$F$19,4,FALSE)</f>
        <v>Alluvial soil; generally fertile</v>
      </c>
      <c r="U28" s="29" t="s">
        <v>133</v>
      </c>
      <c r="V28" s="11">
        <v>4</v>
      </c>
      <c r="W28" s="10" t="s">
        <v>191</v>
      </c>
      <c r="X28" s="29" t="s">
        <v>192</v>
      </c>
      <c r="Y28" s="11">
        <v>4</v>
      </c>
    </row>
    <row r="29" spans="1:25" x14ac:dyDescent="0.25">
      <c r="A29" s="26" t="s">
        <v>255</v>
      </c>
      <c r="B29" s="28">
        <v>681692</v>
      </c>
      <c r="C29" s="28">
        <v>3909689</v>
      </c>
      <c r="D29" s="25" t="s">
        <v>256</v>
      </c>
      <c r="E29" t="s">
        <v>346</v>
      </c>
      <c r="F29" s="15">
        <v>193.14150699999999</v>
      </c>
      <c r="G29" s="15">
        <v>3463.6958399999999</v>
      </c>
      <c r="H29" s="10">
        <v>147.48318699999999</v>
      </c>
      <c r="I29" s="29">
        <v>193.14155600000001</v>
      </c>
      <c r="J29" s="29">
        <v>193.14150699999999</v>
      </c>
      <c r="K29" s="11">
        <v>193.14150699999999</v>
      </c>
      <c r="L29" t="s">
        <v>20</v>
      </c>
      <c r="M29" s="29" t="s">
        <v>139</v>
      </c>
      <c r="N29" t="s">
        <v>140</v>
      </c>
      <c r="O29" s="11">
        <v>3</v>
      </c>
      <c r="P29" s="10" t="s">
        <v>25</v>
      </c>
      <c r="Q29" s="29" t="s">
        <v>58</v>
      </c>
      <c r="R29" s="29" t="str">
        <f ca="1">VLOOKUP($T29,Legend!$A$12:$F$19,2,FALSE)</f>
        <v>Eutric Fluvisols</v>
      </c>
      <c r="S29" s="29" t="str">
        <f ca="1">VLOOKUP($T29,Legend!$A$12:$F$19,3,FALSE)</f>
        <v>Fluvisol</v>
      </c>
      <c r="T29" s="29" t="str">
        <f ca="1">VLOOKUP($T29,Legend!$A$12:$F$19,4,FALSE)</f>
        <v>Alluvial soil; generally fertile</v>
      </c>
      <c r="U29" s="29" t="s">
        <v>133</v>
      </c>
      <c r="V29" s="11">
        <v>4</v>
      </c>
      <c r="W29" s="10" t="s">
        <v>191</v>
      </c>
      <c r="X29" s="29" t="s">
        <v>192</v>
      </c>
      <c r="Y29" s="11">
        <v>4</v>
      </c>
    </row>
    <row r="30" spans="1:25" x14ac:dyDescent="0.25">
      <c r="A30" s="26" t="s">
        <v>315</v>
      </c>
      <c r="B30" s="28">
        <v>682690</v>
      </c>
      <c r="C30" s="28">
        <v>3908499</v>
      </c>
      <c r="D30" s="25" t="s">
        <v>316</v>
      </c>
      <c r="E30" s="16" t="s">
        <v>72</v>
      </c>
      <c r="F30" s="15">
        <v>117.392475</v>
      </c>
      <c r="G30" s="15">
        <v>2869.4341460000001</v>
      </c>
      <c r="H30" s="10">
        <v>117.392475</v>
      </c>
      <c r="I30" s="29">
        <v>117.392511</v>
      </c>
      <c r="J30" s="29">
        <v>117.392475</v>
      </c>
      <c r="K30" s="11">
        <v>117.392475</v>
      </c>
      <c r="L30" t="s">
        <v>20</v>
      </c>
      <c r="M30" s="29" t="s">
        <v>139</v>
      </c>
      <c r="N30" t="s">
        <v>140</v>
      </c>
      <c r="O30" s="11">
        <v>3</v>
      </c>
      <c r="P30" s="10" t="s">
        <v>36</v>
      </c>
      <c r="Q30" s="29" t="s">
        <v>66</v>
      </c>
      <c r="R30" s="29" t="str">
        <f ca="1">VLOOKUP($S30,Legend!$A$12:$F$19,2,FALSE)</f>
        <v>Petric Calcisols</v>
      </c>
      <c r="S30" s="29" t="str">
        <f ca="1">VLOOKUP($S30,Legend!$A$12:$F$19,3,FALSE)</f>
        <v>Calcisol</v>
      </c>
      <c r="T30" s="29" t="str">
        <f ca="1">VLOOKUP($T30,Legend!$A$12:$F$19,4,FALSE)</f>
        <v>Petrocalcic hardpan / restricted rooting</v>
      </c>
      <c r="U30" s="29" t="str">
        <f ca="1">VLOOKUP($T30,Legend!$A$12:$F$19,5,FALSE)</f>
        <v>Low</v>
      </c>
      <c r="V30" s="11">
        <v>2</v>
      </c>
      <c r="W30" s="10" t="s">
        <v>193</v>
      </c>
      <c r="X30" s="29" t="s">
        <v>195</v>
      </c>
      <c r="Y30" s="11">
        <v>3</v>
      </c>
    </row>
    <row r="31" spans="1:25" x14ac:dyDescent="0.25">
      <c r="A31" s="26" t="s">
        <v>254</v>
      </c>
      <c r="B31" s="28">
        <v>686298</v>
      </c>
      <c r="C31" s="28">
        <v>3909225</v>
      </c>
      <c r="D31" s="27" t="s">
        <v>72</v>
      </c>
      <c r="E31" s="16" t="s">
        <v>365</v>
      </c>
      <c r="F31" s="15">
        <v>876.15779099999997</v>
      </c>
      <c r="G31" s="15">
        <v>743.51969399999996</v>
      </c>
      <c r="H31" s="10">
        <v>876.15779099999997</v>
      </c>
      <c r="I31" s="29">
        <v>876.15776200000005</v>
      </c>
      <c r="J31" s="29">
        <v>876.15779099999997</v>
      </c>
      <c r="K31" s="11">
        <v>876.15779099999997</v>
      </c>
      <c r="L31" t="s">
        <v>20</v>
      </c>
      <c r="M31" s="29" t="s">
        <v>139</v>
      </c>
      <c r="N31" t="s">
        <v>140</v>
      </c>
      <c r="O31" s="11">
        <v>3</v>
      </c>
      <c r="P31" s="10" t="s">
        <v>370</v>
      </c>
      <c r="Q31" s="29" t="s">
        <v>371</v>
      </c>
      <c r="R31" s="29" t="s">
        <v>373</v>
      </c>
      <c r="S31" s="29" t="s">
        <v>372</v>
      </c>
      <c r="T31" s="29" t="s">
        <v>374</v>
      </c>
      <c r="U31" s="29" t="s">
        <v>149</v>
      </c>
      <c r="V31" s="11">
        <v>2</v>
      </c>
      <c r="W31" s="10" t="s">
        <v>191</v>
      </c>
      <c r="X31" s="29" t="s">
        <v>192</v>
      </c>
      <c r="Y31" s="11">
        <v>4</v>
      </c>
    </row>
    <row r="32" spans="1:25" x14ac:dyDescent="0.25">
      <c r="A32" s="26" t="s">
        <v>251</v>
      </c>
      <c r="B32" s="28">
        <v>684533</v>
      </c>
      <c r="C32" s="28">
        <v>3907350</v>
      </c>
      <c r="D32" t="s">
        <v>252</v>
      </c>
      <c r="E32" t="s">
        <v>348</v>
      </c>
      <c r="F32" s="15">
        <v>115.871628</v>
      </c>
      <c r="G32" s="15">
        <v>1558.6938379999999</v>
      </c>
      <c r="H32" s="10">
        <v>115.871628</v>
      </c>
      <c r="I32" s="29">
        <v>115.8716</v>
      </c>
      <c r="J32" s="29">
        <v>115.871628</v>
      </c>
      <c r="K32" s="11">
        <v>115.871628</v>
      </c>
      <c r="L32" t="s">
        <v>20</v>
      </c>
      <c r="M32" s="29" t="s">
        <v>139</v>
      </c>
      <c r="N32" t="s">
        <v>140</v>
      </c>
      <c r="O32" s="11">
        <v>3</v>
      </c>
      <c r="P32" s="10" t="s">
        <v>36</v>
      </c>
      <c r="Q32" s="29" t="s">
        <v>66</v>
      </c>
      <c r="R32" s="29" t="str">
        <f ca="1">VLOOKUP($S32,Legend!$A$12:$F$19,2,FALSE)</f>
        <v>Petric Calcisols</v>
      </c>
      <c r="S32" s="29" t="str">
        <f ca="1">VLOOKUP($S32,Legend!$A$12:$F$19,3,FALSE)</f>
        <v>Calcisol</v>
      </c>
      <c r="T32" s="29" t="str">
        <f ca="1">VLOOKUP($T32,Legend!$A$12:$F$19,4,FALSE)</f>
        <v>Petrocalcic hardpan / restricted rooting</v>
      </c>
      <c r="U32" s="29" t="str">
        <f ca="1">VLOOKUP($T32,Legend!$A$12:$F$19,5,FALSE)</f>
        <v>Low</v>
      </c>
      <c r="V32" s="11">
        <v>2</v>
      </c>
      <c r="W32" s="10" t="s">
        <v>191</v>
      </c>
      <c r="X32" s="29" t="s">
        <v>192</v>
      </c>
      <c r="Y32" s="11">
        <v>4</v>
      </c>
    </row>
    <row r="33" spans="1:25" x14ac:dyDescent="0.25">
      <c r="A33" s="26" t="s">
        <v>249</v>
      </c>
      <c r="B33" s="28">
        <v>685442</v>
      </c>
      <c r="C33" s="28">
        <v>3907151</v>
      </c>
      <c r="D33" s="25" t="s">
        <v>250</v>
      </c>
      <c r="E33" s="16" t="s">
        <v>72</v>
      </c>
      <c r="F33" s="15">
        <v>309.78692999999998</v>
      </c>
      <c r="G33" s="15">
        <v>660.51189599999998</v>
      </c>
      <c r="H33" s="10">
        <v>228.648698</v>
      </c>
      <c r="I33" s="29">
        <v>228.648651</v>
      </c>
      <c r="J33" s="29">
        <v>228.648698</v>
      </c>
      <c r="K33" s="11">
        <v>309.78692999999998</v>
      </c>
      <c r="L33" t="s">
        <v>20</v>
      </c>
      <c r="M33" s="29" t="s">
        <v>139</v>
      </c>
      <c r="N33" t="s">
        <v>140</v>
      </c>
      <c r="O33" s="11">
        <v>3</v>
      </c>
      <c r="P33" s="10" t="s">
        <v>36</v>
      </c>
      <c r="Q33" s="29" t="s">
        <v>66</v>
      </c>
      <c r="R33" s="29" t="str">
        <f ca="1">VLOOKUP($S33,Legend!$A$12:$F$19,2,FALSE)</f>
        <v>Petric Calcisols</v>
      </c>
      <c r="S33" s="29" t="str">
        <f ca="1">VLOOKUP($S33,Legend!$A$12:$F$19,3,FALSE)</f>
        <v>Calcisol</v>
      </c>
      <c r="T33" s="29" t="str">
        <f ca="1">VLOOKUP($T33,Legend!$A$12:$F$19,4,FALSE)</f>
        <v>Petrocalcic hardpan / restricted rooting</v>
      </c>
      <c r="U33" s="29" t="str">
        <f ca="1">VLOOKUP($T33,Legend!$A$12:$F$19,5,FALSE)</f>
        <v>Low</v>
      </c>
      <c r="V33" s="11">
        <v>2</v>
      </c>
      <c r="W33" s="10" t="s">
        <v>191</v>
      </c>
      <c r="X33" s="29" t="s">
        <v>192</v>
      </c>
      <c r="Y33" s="11">
        <v>4</v>
      </c>
    </row>
    <row r="34" spans="1:25" x14ac:dyDescent="0.25">
      <c r="A34" s="26" t="s">
        <v>253</v>
      </c>
      <c r="B34" s="28">
        <v>687998</v>
      </c>
      <c r="C34" s="28">
        <v>3907633</v>
      </c>
      <c r="D34" s="25" t="s">
        <v>349</v>
      </c>
      <c r="E34" s="16" t="s">
        <v>364</v>
      </c>
      <c r="F34" s="15">
        <v>897.88304300000004</v>
      </c>
      <c r="G34" s="15">
        <v>1915.9993790000001</v>
      </c>
      <c r="H34" s="10">
        <v>735.12210500000003</v>
      </c>
      <c r="I34" s="29">
        <v>728.62312599999996</v>
      </c>
      <c r="J34" s="29">
        <v>888.879054</v>
      </c>
      <c r="K34" s="11">
        <v>897.88304300000004</v>
      </c>
      <c r="L34" t="s">
        <v>20</v>
      </c>
      <c r="M34" s="29" t="s">
        <v>139</v>
      </c>
      <c r="N34" t="s">
        <v>140</v>
      </c>
      <c r="O34" s="11">
        <v>3</v>
      </c>
      <c r="P34" s="10" t="s">
        <v>370</v>
      </c>
      <c r="Q34" s="29" t="s">
        <v>371</v>
      </c>
      <c r="R34" s="29" t="s">
        <v>373</v>
      </c>
      <c r="S34" s="29" t="s">
        <v>372</v>
      </c>
      <c r="T34" s="29" t="s">
        <v>374</v>
      </c>
      <c r="U34" s="29" t="s">
        <v>149</v>
      </c>
      <c r="V34" s="11">
        <v>2</v>
      </c>
      <c r="W34" s="10" t="s">
        <v>191</v>
      </c>
      <c r="X34" s="29" t="s">
        <v>192</v>
      </c>
      <c r="Y34" s="11">
        <v>4</v>
      </c>
    </row>
    <row r="35" spans="1:25" x14ac:dyDescent="0.25">
      <c r="A35" s="26" t="s">
        <v>247</v>
      </c>
      <c r="B35" s="28">
        <v>686097</v>
      </c>
      <c r="C35" s="28">
        <v>3906587</v>
      </c>
      <c r="D35" s="25" t="s">
        <v>248</v>
      </c>
      <c r="E35" s="16" t="s">
        <v>72</v>
      </c>
      <c r="F35" s="15">
        <v>931.31034199999999</v>
      </c>
      <c r="G35" s="15">
        <v>35.773287000000003</v>
      </c>
      <c r="H35" s="10">
        <v>167.97096099999999</v>
      </c>
      <c r="I35" s="29">
        <v>167.97098</v>
      </c>
      <c r="J35" s="29">
        <v>167.97096099999999</v>
      </c>
      <c r="K35" s="11">
        <v>931.31034199999999</v>
      </c>
      <c r="L35" t="s">
        <v>20</v>
      </c>
      <c r="M35" s="29" t="s">
        <v>139</v>
      </c>
      <c r="N35" t="s">
        <v>140</v>
      </c>
      <c r="O35" s="11">
        <v>3</v>
      </c>
      <c r="P35" s="10" t="s">
        <v>36</v>
      </c>
      <c r="Q35" s="29" t="s">
        <v>66</v>
      </c>
      <c r="R35" s="29" t="str">
        <f ca="1">VLOOKUP($S35,Legend!$A$12:$F$19,2,FALSE)</f>
        <v>Petric Calcisols</v>
      </c>
      <c r="S35" s="29" t="str">
        <f ca="1">VLOOKUP($S35,Legend!$A$12:$F$19,3,FALSE)</f>
        <v>Calcisol</v>
      </c>
      <c r="T35" s="29" t="str">
        <f ca="1">VLOOKUP($T35,Legend!$A$12:$F$19,4,FALSE)</f>
        <v>Petrocalcic hardpan / restricted rooting</v>
      </c>
      <c r="U35" s="29" t="str">
        <f ca="1">VLOOKUP($T35,Legend!$A$12:$F$19,5,FALSE)</f>
        <v>Low</v>
      </c>
      <c r="V35" s="11">
        <v>2</v>
      </c>
      <c r="W35" s="10" t="s">
        <v>191</v>
      </c>
      <c r="X35" s="29" t="s">
        <v>192</v>
      </c>
      <c r="Y35" s="11">
        <v>4</v>
      </c>
    </row>
    <row r="36" spans="1:25" x14ac:dyDescent="0.25">
      <c r="A36" s="26" t="s">
        <v>246</v>
      </c>
      <c r="B36" s="28">
        <v>685472</v>
      </c>
      <c r="C36" s="28">
        <v>3905724</v>
      </c>
      <c r="D36" s="27" t="s">
        <v>72</v>
      </c>
      <c r="E36" s="16" t="s">
        <v>72</v>
      </c>
      <c r="F36" s="15">
        <v>945.56975799999998</v>
      </c>
      <c r="G36" s="15">
        <v>976.67832399999998</v>
      </c>
      <c r="H36" s="10">
        <v>284.03039100000001</v>
      </c>
      <c r="I36" s="29">
        <v>284.68439799999999</v>
      </c>
      <c r="J36" s="29">
        <v>284.68438099999997</v>
      </c>
      <c r="K36" s="11">
        <v>945.56975799999998</v>
      </c>
      <c r="L36" t="s">
        <v>20</v>
      </c>
      <c r="M36" s="29" t="s">
        <v>139</v>
      </c>
      <c r="N36" t="s">
        <v>140</v>
      </c>
      <c r="O36" s="11">
        <v>3</v>
      </c>
      <c r="P36" s="10" t="s">
        <v>36</v>
      </c>
      <c r="Q36" s="29" t="s">
        <v>66</v>
      </c>
      <c r="R36" s="29" t="str">
        <f ca="1">VLOOKUP($S36,Legend!$A$12:$F$19,2,FALSE)</f>
        <v>Petric Calcisols</v>
      </c>
      <c r="S36" s="29" t="str">
        <f ca="1">VLOOKUP($S36,Legend!$A$12:$F$19,3,FALSE)</f>
        <v>Calcisol</v>
      </c>
      <c r="T36" s="29" t="str">
        <f ca="1">VLOOKUP($T36,Legend!$A$12:$F$19,4,FALSE)</f>
        <v>Petrocalcic hardpan / restricted rooting</v>
      </c>
      <c r="U36" s="29" t="str">
        <f ca="1">VLOOKUP($T36,Legend!$A$12:$F$19,5,FALSE)</f>
        <v>Low</v>
      </c>
      <c r="V36" s="11">
        <v>2</v>
      </c>
      <c r="W36" s="10" t="s">
        <v>193</v>
      </c>
      <c r="X36" s="29" t="s">
        <v>195</v>
      </c>
      <c r="Y36" s="11">
        <v>3</v>
      </c>
    </row>
    <row r="37" spans="1:25" x14ac:dyDescent="0.25">
      <c r="A37" s="26" t="s">
        <v>245</v>
      </c>
      <c r="B37" s="28">
        <v>687168</v>
      </c>
      <c r="C37" s="28">
        <v>3905462</v>
      </c>
      <c r="D37" s="27" t="s">
        <v>72</v>
      </c>
      <c r="E37" s="16" t="s">
        <v>72</v>
      </c>
      <c r="F37" s="15">
        <v>494.30499600000002</v>
      </c>
      <c r="G37" s="15">
        <v>73.211271999999994</v>
      </c>
      <c r="H37" s="10">
        <v>416.248605</v>
      </c>
      <c r="I37" s="29">
        <v>416.24858799999998</v>
      </c>
      <c r="J37" s="29">
        <v>416.248605</v>
      </c>
      <c r="K37" s="11">
        <v>494.30499600000002</v>
      </c>
      <c r="L37" t="s">
        <v>20</v>
      </c>
      <c r="M37" s="29" t="s">
        <v>139</v>
      </c>
      <c r="N37" t="s">
        <v>140</v>
      </c>
      <c r="O37" s="11">
        <v>3</v>
      </c>
      <c r="P37" s="10" t="s">
        <v>36</v>
      </c>
      <c r="Q37" s="29" t="s">
        <v>66</v>
      </c>
      <c r="R37" s="29" t="str">
        <f ca="1">VLOOKUP($S37,Legend!$A$12:$F$19,2,FALSE)</f>
        <v>Petric Calcisols</v>
      </c>
      <c r="S37" s="29" t="str">
        <f ca="1">VLOOKUP($S37,Legend!$A$12:$F$19,3,FALSE)</f>
        <v>Calcisol</v>
      </c>
      <c r="T37" s="29" t="str">
        <f ca="1">VLOOKUP($T37,Legend!$A$12:$F$19,4,FALSE)</f>
        <v>Petrocalcic hardpan / restricted rooting</v>
      </c>
      <c r="U37" s="29" t="str">
        <f ca="1">VLOOKUP($T37,Legend!$A$12:$F$19,5,FALSE)</f>
        <v>Low</v>
      </c>
      <c r="V37" s="11">
        <v>2</v>
      </c>
      <c r="W37" s="10" t="s">
        <v>191</v>
      </c>
      <c r="X37" s="29" t="s">
        <v>192</v>
      </c>
      <c r="Y37" s="11">
        <v>4</v>
      </c>
    </row>
    <row r="38" spans="1:25" x14ac:dyDescent="0.25">
      <c r="A38" s="26" t="s">
        <v>243</v>
      </c>
      <c r="B38" s="28">
        <v>687744</v>
      </c>
      <c r="C38" s="28">
        <v>3905102</v>
      </c>
      <c r="D38" s="25" t="s">
        <v>244</v>
      </c>
      <c r="E38" s="16" t="s">
        <v>363</v>
      </c>
      <c r="F38" s="15">
        <v>613.19806000000005</v>
      </c>
      <c r="G38" s="15">
        <v>235.506743</v>
      </c>
      <c r="H38" s="10">
        <v>91.512657000000004</v>
      </c>
      <c r="I38" s="29">
        <v>91.512662000000006</v>
      </c>
      <c r="J38" s="29">
        <v>91.512657000000004</v>
      </c>
      <c r="K38" s="11">
        <v>613.19806000000005</v>
      </c>
      <c r="L38" t="s">
        <v>20</v>
      </c>
      <c r="M38" s="29" t="s">
        <v>139</v>
      </c>
      <c r="N38" t="s">
        <v>140</v>
      </c>
      <c r="O38" s="11">
        <v>3</v>
      </c>
      <c r="P38" s="10" t="s">
        <v>36</v>
      </c>
      <c r="Q38" s="29" t="s">
        <v>66</v>
      </c>
      <c r="R38" s="29" t="str">
        <f ca="1">VLOOKUP($S38,Legend!$A$12:$F$19,2,FALSE)</f>
        <v>Petric Calcisols</v>
      </c>
      <c r="S38" s="29" t="str">
        <f ca="1">VLOOKUP($S38,Legend!$A$12:$F$19,3,FALSE)</f>
        <v>Calcisol</v>
      </c>
      <c r="T38" s="29" t="str">
        <f ca="1">VLOOKUP($T38,Legend!$A$12:$F$19,4,FALSE)</f>
        <v>Petrocalcic hardpan / restricted rooting</v>
      </c>
      <c r="U38" s="29" t="str">
        <f ca="1">VLOOKUP($T38,Legend!$A$12:$F$19,5,FALSE)</f>
        <v>Low</v>
      </c>
      <c r="V38" s="11">
        <v>2</v>
      </c>
      <c r="W38" s="10" t="s">
        <v>191</v>
      </c>
      <c r="X38" s="29" t="s">
        <v>192</v>
      </c>
      <c r="Y38" s="11">
        <v>4</v>
      </c>
    </row>
    <row r="39" spans="1:25" x14ac:dyDescent="0.25">
      <c r="A39" s="26" t="s">
        <v>350</v>
      </c>
      <c r="B39" s="28">
        <v>686473</v>
      </c>
      <c r="C39" s="28">
        <v>3905027</v>
      </c>
      <c r="D39" s="25" t="s">
        <v>351</v>
      </c>
      <c r="E39" s="16" t="s">
        <v>346</v>
      </c>
      <c r="F39" s="15">
        <v>1293.315985</v>
      </c>
      <c r="G39" s="15">
        <v>651.37964799999997</v>
      </c>
      <c r="H39" s="10">
        <v>492.270916</v>
      </c>
      <c r="I39" s="29">
        <v>802.29431399999999</v>
      </c>
      <c r="J39" s="29">
        <v>1067.6606059999999</v>
      </c>
      <c r="K39" s="11">
        <v>1293.315985</v>
      </c>
      <c r="L39" t="s">
        <v>20</v>
      </c>
      <c r="M39" s="29" t="s">
        <v>139</v>
      </c>
      <c r="N39" t="s">
        <v>140</v>
      </c>
      <c r="O39" s="11">
        <v>3</v>
      </c>
      <c r="P39" s="10" t="s">
        <v>36</v>
      </c>
      <c r="Q39" s="29" t="s">
        <v>66</v>
      </c>
      <c r="R39" s="29" t="str">
        <f ca="1">VLOOKUP($S39,Legend!$A$12:$F$19,2,FALSE)</f>
        <v>Petric Calcisols</v>
      </c>
      <c r="S39" s="29" t="str">
        <f ca="1">VLOOKUP($S39,Legend!$A$12:$F$19,3,FALSE)</f>
        <v>Calcisol</v>
      </c>
      <c r="T39" s="29" t="str">
        <f ca="1">VLOOKUP($T39,Legend!$A$12:$F$19,4,FALSE)</f>
        <v>Petrocalcic hardpan / restricted rooting</v>
      </c>
      <c r="U39" s="29" t="str">
        <f ca="1">VLOOKUP($T39,Legend!$A$12:$F$19,5,FALSE)</f>
        <v>Low</v>
      </c>
      <c r="V39" s="11">
        <v>2</v>
      </c>
      <c r="W39" s="10" t="s">
        <v>191</v>
      </c>
      <c r="X39" s="29" t="s">
        <v>192</v>
      </c>
      <c r="Y39" s="11">
        <v>4</v>
      </c>
    </row>
    <row r="40" spans="1:25" x14ac:dyDescent="0.25">
      <c r="A40" s="26" t="s">
        <v>241</v>
      </c>
      <c r="B40" s="28">
        <v>687450</v>
      </c>
      <c r="C40" s="28">
        <v>3903958</v>
      </c>
      <c r="D40" t="s">
        <v>242</v>
      </c>
      <c r="E40" s="16" t="s">
        <v>72</v>
      </c>
      <c r="F40" s="15">
        <v>1672.8720189999999</v>
      </c>
      <c r="G40" s="15">
        <v>1160.8216480000001</v>
      </c>
      <c r="H40" s="10">
        <v>880.939031</v>
      </c>
      <c r="I40" s="29">
        <v>880.93899599999997</v>
      </c>
      <c r="J40" s="29">
        <v>909.82031099999995</v>
      </c>
      <c r="K40" s="11">
        <v>1672.8720189999999</v>
      </c>
      <c r="L40" t="s">
        <v>20</v>
      </c>
      <c r="M40" s="29" t="s">
        <v>139</v>
      </c>
      <c r="N40" t="s">
        <v>140</v>
      </c>
      <c r="O40" s="11">
        <v>3</v>
      </c>
      <c r="P40" s="10" t="s">
        <v>36</v>
      </c>
      <c r="Q40" s="29" t="s">
        <v>66</v>
      </c>
      <c r="R40" s="29" t="str">
        <f ca="1">VLOOKUP($S40,Legend!$A$12:$F$19,2,FALSE)</f>
        <v>Petric Calcisols</v>
      </c>
      <c r="S40" s="29" t="str">
        <f ca="1">VLOOKUP($S40,Legend!$A$12:$F$19,3,FALSE)</f>
        <v>Calcisol</v>
      </c>
      <c r="T40" s="29" t="str">
        <f ca="1">VLOOKUP($T40,Legend!$A$12:$F$19,4,FALSE)</f>
        <v>Petrocalcic hardpan / restricted rooting</v>
      </c>
      <c r="U40" s="29" t="str">
        <f ca="1">VLOOKUP($T40,Legend!$A$12:$F$19,5,FALSE)</f>
        <v>Low</v>
      </c>
      <c r="V40" s="11">
        <v>2</v>
      </c>
      <c r="W40" s="10" t="s">
        <v>191</v>
      </c>
      <c r="X40" s="29" t="s">
        <v>192</v>
      </c>
      <c r="Y40" s="11">
        <v>4</v>
      </c>
    </row>
    <row r="41" spans="1:25" x14ac:dyDescent="0.25">
      <c r="A41" s="26" t="s">
        <v>240</v>
      </c>
      <c r="B41" s="28">
        <v>689650</v>
      </c>
      <c r="C41" s="28">
        <v>3902437</v>
      </c>
      <c r="D41" s="27" t="s">
        <v>72</v>
      </c>
      <c r="E41" s="16" t="s">
        <v>72</v>
      </c>
      <c r="F41" s="15">
        <v>441.90939800000001</v>
      </c>
      <c r="G41" s="15">
        <v>57.573788</v>
      </c>
      <c r="H41" s="10">
        <v>348.71335399999998</v>
      </c>
      <c r="I41" s="29">
        <v>353.08511299999998</v>
      </c>
      <c r="J41" s="29">
        <v>353.08508999999998</v>
      </c>
      <c r="K41" s="11">
        <v>441.90939800000001</v>
      </c>
      <c r="L41" t="s">
        <v>20</v>
      </c>
      <c r="M41" s="29" t="s">
        <v>139</v>
      </c>
      <c r="N41" t="s">
        <v>140</v>
      </c>
      <c r="O41" s="11">
        <v>3</v>
      </c>
      <c r="P41" s="10" t="s">
        <v>36</v>
      </c>
      <c r="Q41" s="29" t="s">
        <v>66</v>
      </c>
      <c r="R41" s="29" t="str">
        <f ca="1">VLOOKUP($S41,Legend!$A$12:$F$19,2,FALSE)</f>
        <v>Petric Calcisols</v>
      </c>
      <c r="S41" s="29" t="str">
        <f ca="1">VLOOKUP($S41,Legend!$A$12:$F$19,3,FALSE)</f>
        <v>Calcisol</v>
      </c>
      <c r="T41" s="29" t="str">
        <f ca="1">VLOOKUP($T41,Legend!$A$12:$F$19,4,FALSE)</f>
        <v>Petrocalcic hardpan / restricted rooting</v>
      </c>
      <c r="U41" s="29" t="str">
        <f ca="1">VLOOKUP($T41,Legend!$A$12:$F$19,5,FALSE)</f>
        <v>Low</v>
      </c>
      <c r="V41" s="11">
        <v>2</v>
      </c>
      <c r="W41" s="10" t="s">
        <v>191</v>
      </c>
      <c r="X41" s="29" t="s">
        <v>192</v>
      </c>
      <c r="Y41" s="11">
        <v>4</v>
      </c>
    </row>
    <row r="42" spans="1:25" x14ac:dyDescent="0.25">
      <c r="A42" s="26" t="s">
        <v>213</v>
      </c>
      <c r="B42" s="28">
        <v>693174</v>
      </c>
      <c r="C42" s="28">
        <v>3902901</v>
      </c>
      <c r="D42" t="s">
        <v>352</v>
      </c>
      <c r="E42" s="16" t="s">
        <v>363</v>
      </c>
      <c r="F42" s="15">
        <v>2066.4997020000001</v>
      </c>
      <c r="G42" s="15">
        <v>1855.144229</v>
      </c>
      <c r="H42" s="10">
        <v>660.60517300000004</v>
      </c>
      <c r="I42" s="29">
        <v>679.73631499999999</v>
      </c>
      <c r="J42" s="29">
        <v>715.16238199999998</v>
      </c>
      <c r="K42" s="11">
        <v>2066.4997020000001</v>
      </c>
      <c r="L42" t="s">
        <v>20</v>
      </c>
      <c r="M42" s="29" t="s">
        <v>139</v>
      </c>
      <c r="N42" t="s">
        <v>140</v>
      </c>
      <c r="O42" s="11">
        <v>3</v>
      </c>
      <c r="P42" s="10" t="s">
        <v>36</v>
      </c>
      <c r="Q42" s="29" t="s">
        <v>66</v>
      </c>
      <c r="R42" s="29" t="str">
        <f ca="1">VLOOKUP($S42,Legend!$A$12:$F$19,2,FALSE)</f>
        <v>Petric Calcisols</v>
      </c>
      <c r="S42" s="29" t="str">
        <f ca="1">VLOOKUP($S42,Legend!$A$12:$F$19,3,FALSE)</f>
        <v>Calcisol</v>
      </c>
      <c r="T42" s="29" t="str">
        <f ca="1">VLOOKUP($T42,Legend!$A$12:$F$19,4,FALSE)</f>
        <v>Petrocalcic hardpan / restricted rooting</v>
      </c>
      <c r="U42" s="29" t="str">
        <f ca="1">VLOOKUP($T42,Legend!$A$12:$F$19,5,FALSE)</f>
        <v>Low</v>
      </c>
      <c r="V42" s="11">
        <v>2</v>
      </c>
      <c r="W42" s="10" t="s">
        <v>191</v>
      </c>
      <c r="X42" s="29" t="s">
        <v>192</v>
      </c>
      <c r="Y42" s="11">
        <v>4</v>
      </c>
    </row>
    <row r="43" spans="1:25" x14ac:dyDescent="0.25">
      <c r="A43" s="26" t="s">
        <v>214</v>
      </c>
      <c r="B43" s="28">
        <v>692634</v>
      </c>
      <c r="C43" s="28">
        <v>3902357</v>
      </c>
      <c r="D43" s="27" t="s">
        <v>72</v>
      </c>
      <c r="E43" s="16" t="s">
        <v>72</v>
      </c>
      <c r="F43" s="15">
        <v>1326.7564090000001</v>
      </c>
      <c r="G43" s="15">
        <v>1122.67284</v>
      </c>
      <c r="H43" s="10">
        <v>53.095205</v>
      </c>
      <c r="I43" s="29">
        <v>178.27799400000001</v>
      </c>
      <c r="J43" s="29">
        <v>332.59607899999997</v>
      </c>
      <c r="K43" s="11">
        <v>1326.7564090000001</v>
      </c>
      <c r="L43" t="s">
        <v>20</v>
      </c>
      <c r="M43" s="29" t="s">
        <v>139</v>
      </c>
      <c r="N43" t="s">
        <v>140</v>
      </c>
      <c r="O43" s="11">
        <v>3</v>
      </c>
      <c r="P43" s="10" t="s">
        <v>36</v>
      </c>
      <c r="Q43" s="29" t="s">
        <v>66</v>
      </c>
      <c r="R43" s="29" t="str">
        <f ca="1">VLOOKUP($S43,Legend!$A$12:$F$19,2,FALSE)</f>
        <v>Petric Calcisols</v>
      </c>
      <c r="S43" s="29" t="str">
        <f ca="1">VLOOKUP($S43,Legend!$A$12:$F$19,3,FALSE)</f>
        <v>Calcisol</v>
      </c>
      <c r="T43" s="29" t="str">
        <f ca="1">VLOOKUP($T43,Legend!$A$12:$F$19,4,FALSE)</f>
        <v>Petrocalcic hardpan / restricted rooting</v>
      </c>
      <c r="U43" s="29" t="str">
        <f ca="1">VLOOKUP($T43,Legend!$A$12:$F$19,5,FALSE)</f>
        <v>Low</v>
      </c>
      <c r="V43" s="11">
        <v>2</v>
      </c>
      <c r="W43" s="10" t="s">
        <v>191</v>
      </c>
      <c r="X43" s="29" t="s">
        <v>192</v>
      </c>
      <c r="Y43" s="11">
        <v>4</v>
      </c>
    </row>
    <row r="44" spans="1:25" x14ac:dyDescent="0.25">
      <c r="A44" s="26" t="s">
        <v>211</v>
      </c>
      <c r="B44" s="28">
        <v>692999</v>
      </c>
      <c r="C44" s="28">
        <v>3901586</v>
      </c>
      <c r="D44" s="27" t="s">
        <v>72</v>
      </c>
      <c r="E44" s="16" t="s">
        <v>72</v>
      </c>
      <c r="F44" s="15">
        <v>1272.71487</v>
      </c>
      <c r="G44" s="15">
        <v>762.76403400000004</v>
      </c>
      <c r="H44" s="10">
        <v>459.20133199999998</v>
      </c>
      <c r="I44" s="29">
        <v>459.20132699999999</v>
      </c>
      <c r="J44" s="29">
        <v>459.20133199999998</v>
      </c>
      <c r="K44" s="11">
        <v>1272.71487</v>
      </c>
      <c r="L44" t="s">
        <v>20</v>
      </c>
      <c r="M44" s="29" t="s">
        <v>139</v>
      </c>
      <c r="N44" t="s">
        <v>140</v>
      </c>
      <c r="O44" s="11">
        <v>3</v>
      </c>
      <c r="P44" s="10" t="s">
        <v>36</v>
      </c>
      <c r="Q44" s="29" t="s">
        <v>66</v>
      </c>
      <c r="R44" s="29" t="str">
        <f ca="1">VLOOKUP($S44,Legend!$A$12:$F$19,2,FALSE)</f>
        <v>Petric Calcisols</v>
      </c>
      <c r="S44" s="29" t="str">
        <f ca="1">VLOOKUP($S44,Legend!$A$12:$F$19,3,FALSE)</f>
        <v>Calcisol</v>
      </c>
      <c r="T44" s="29" t="str">
        <f ca="1">VLOOKUP($T44,Legend!$A$12:$F$19,4,FALSE)</f>
        <v>Petrocalcic hardpan / restricted rooting</v>
      </c>
      <c r="U44" s="29" t="str">
        <f ca="1">VLOOKUP($T44,Legend!$A$12:$F$19,5,FALSE)</f>
        <v>Low</v>
      </c>
      <c r="V44" s="11">
        <v>2</v>
      </c>
      <c r="W44" s="10" t="s">
        <v>191</v>
      </c>
      <c r="X44" s="29" t="s">
        <v>192</v>
      </c>
      <c r="Y44" s="11">
        <v>4</v>
      </c>
    </row>
    <row r="45" spans="1:25" x14ac:dyDescent="0.25">
      <c r="A45" s="26" t="s">
        <v>210</v>
      </c>
      <c r="B45" s="28">
        <v>694012</v>
      </c>
      <c r="C45" s="28">
        <v>3901377</v>
      </c>
      <c r="D45" s="27" t="s">
        <v>72</v>
      </c>
      <c r="E45" s="16" t="s">
        <v>72</v>
      </c>
      <c r="F45" s="15">
        <v>874.26827800000001</v>
      </c>
      <c r="G45" s="15">
        <v>1688.9850039999999</v>
      </c>
      <c r="H45" s="10">
        <v>349.04230100000001</v>
      </c>
      <c r="I45" s="29">
        <v>349.04227100000003</v>
      </c>
      <c r="J45" s="29">
        <v>349.04230100000001</v>
      </c>
      <c r="K45" s="11">
        <v>874.26827800000001</v>
      </c>
      <c r="L45" t="s">
        <v>20</v>
      </c>
      <c r="M45" s="29" t="s">
        <v>139</v>
      </c>
      <c r="N45" t="s">
        <v>140</v>
      </c>
      <c r="O45" s="11">
        <v>3</v>
      </c>
      <c r="P45" s="10" t="s">
        <v>36</v>
      </c>
      <c r="Q45" s="29" t="s">
        <v>66</v>
      </c>
      <c r="R45" s="29" t="str">
        <f ca="1">VLOOKUP($S45,Legend!$A$12:$F$19,2,FALSE)</f>
        <v>Petric Calcisols</v>
      </c>
      <c r="S45" s="29" t="str">
        <f ca="1">VLOOKUP($S45,Legend!$A$12:$F$19,3,FALSE)</f>
        <v>Calcisol</v>
      </c>
      <c r="T45" s="29" t="str">
        <f ca="1">VLOOKUP($T45,Legend!$A$12:$F$19,4,FALSE)</f>
        <v>Petrocalcic hardpan / restricted rooting</v>
      </c>
      <c r="U45" s="29" t="str">
        <f ca="1">VLOOKUP($T45,Legend!$A$12:$F$19,5,FALSE)</f>
        <v>Low</v>
      </c>
      <c r="V45" s="11">
        <v>2</v>
      </c>
      <c r="W45" s="10" t="s">
        <v>191</v>
      </c>
      <c r="X45" s="29" t="s">
        <v>192</v>
      </c>
      <c r="Y45" s="11">
        <v>4</v>
      </c>
    </row>
    <row r="46" spans="1:25" x14ac:dyDescent="0.25">
      <c r="A46" s="26" t="s">
        <v>209</v>
      </c>
      <c r="B46" s="28">
        <v>694920</v>
      </c>
      <c r="C46" s="28">
        <v>3900881</v>
      </c>
      <c r="D46" s="27" t="s">
        <v>72</v>
      </c>
      <c r="E46" s="16" t="s">
        <v>72</v>
      </c>
      <c r="F46" s="15">
        <v>1041.6737459999999</v>
      </c>
      <c r="G46" s="15">
        <v>2566.8790060000001</v>
      </c>
      <c r="H46" s="10">
        <v>124.30261900000001</v>
      </c>
      <c r="I46" s="29">
        <v>614.216047</v>
      </c>
      <c r="J46" s="29">
        <v>615.61437599999999</v>
      </c>
      <c r="K46" s="11">
        <v>1041.6737459999999</v>
      </c>
      <c r="L46" t="s">
        <v>20</v>
      </c>
      <c r="M46" s="29" t="s">
        <v>139</v>
      </c>
      <c r="N46" t="s">
        <v>140</v>
      </c>
      <c r="O46" s="11">
        <v>3</v>
      </c>
      <c r="P46" s="10" t="s">
        <v>36</v>
      </c>
      <c r="Q46" s="29" t="s">
        <v>66</v>
      </c>
      <c r="R46" s="29" t="str">
        <f ca="1">VLOOKUP($S46,Legend!$A$12:$F$19,2,FALSE)</f>
        <v>Petric Calcisols</v>
      </c>
      <c r="S46" s="29" t="str">
        <f ca="1">VLOOKUP($S46,Legend!$A$12:$F$19,3,FALSE)</f>
        <v>Calcisol</v>
      </c>
      <c r="T46" s="29" t="str">
        <f ca="1">VLOOKUP($T46,Legend!$A$12:$F$19,4,FALSE)</f>
        <v>Petrocalcic hardpan / restricted rooting</v>
      </c>
      <c r="U46" s="29" t="str">
        <f ca="1">VLOOKUP($T46,Legend!$A$12:$F$19,5,FALSE)</f>
        <v>Low</v>
      </c>
      <c r="V46" s="11">
        <v>2</v>
      </c>
      <c r="W46" s="10" t="s">
        <v>191</v>
      </c>
      <c r="X46" s="29" t="s">
        <v>192</v>
      </c>
      <c r="Y46" s="11">
        <v>4</v>
      </c>
    </row>
    <row r="47" spans="1:25" x14ac:dyDescent="0.25">
      <c r="A47" s="26" t="s">
        <v>208</v>
      </c>
      <c r="B47" s="28">
        <v>694604</v>
      </c>
      <c r="C47" s="28">
        <v>3900197</v>
      </c>
      <c r="D47" s="25" t="s">
        <v>212</v>
      </c>
      <c r="E47" s="16" t="s">
        <v>345</v>
      </c>
      <c r="F47" s="15">
        <v>632.11020799999994</v>
      </c>
      <c r="G47" s="15">
        <v>2323.645536</v>
      </c>
      <c r="H47" s="10">
        <v>269.87484599999999</v>
      </c>
      <c r="I47" s="29">
        <v>269.87485199999998</v>
      </c>
      <c r="J47" s="29">
        <v>268.60935699999999</v>
      </c>
      <c r="K47" s="11">
        <v>632.11020799999994</v>
      </c>
      <c r="L47" t="s">
        <v>20</v>
      </c>
      <c r="M47" s="29" t="s">
        <v>139</v>
      </c>
      <c r="N47" t="s">
        <v>140</v>
      </c>
      <c r="O47" s="11">
        <v>3</v>
      </c>
      <c r="P47" s="10" t="s">
        <v>65</v>
      </c>
      <c r="Q47" s="29" t="s">
        <v>66</v>
      </c>
      <c r="R47" s="29" t="str">
        <f ca="1">VLOOKUP($S47,Legend!$A$12:$F$19,2,FALSE)</f>
        <v>Petric Calcisols</v>
      </c>
      <c r="S47" s="29" t="str">
        <f ca="1">VLOOKUP($S47,Legend!$A$12:$F$19,3,FALSE)</f>
        <v>Calcisol</v>
      </c>
      <c r="T47" s="29" t="str">
        <f ca="1">VLOOKUP($T47,Legend!$A$12:$F$19,4,FALSE)</f>
        <v>Petrocalcic hardpan / restricted rooting</v>
      </c>
      <c r="U47" s="29" t="str">
        <f ca="1">VLOOKUP($T47,Legend!$A$12:$F$19,5,FALSE)</f>
        <v>Low</v>
      </c>
      <c r="V47" s="11">
        <v>2</v>
      </c>
      <c r="W47" s="10" t="s">
        <v>191</v>
      </c>
      <c r="X47" s="29" t="s">
        <v>192</v>
      </c>
      <c r="Y47" s="11">
        <v>4</v>
      </c>
    </row>
    <row r="48" spans="1:25" x14ac:dyDescent="0.25">
      <c r="A48" s="26" t="s">
        <v>216</v>
      </c>
      <c r="B48" s="28">
        <v>691573</v>
      </c>
      <c r="C48" s="28">
        <v>3898405</v>
      </c>
      <c r="D48" s="27" t="s">
        <v>72</v>
      </c>
      <c r="E48" s="16" t="s">
        <v>363</v>
      </c>
      <c r="F48" s="15">
        <v>585.28026399999999</v>
      </c>
      <c r="G48" s="15">
        <v>156.524732</v>
      </c>
      <c r="H48" s="10">
        <v>116.316974</v>
      </c>
      <c r="I48" s="29">
        <v>293.00497000000001</v>
      </c>
      <c r="J48" s="29">
        <v>293.00499300000001</v>
      </c>
      <c r="K48" s="11">
        <v>585.28026399999999</v>
      </c>
      <c r="L48" t="s">
        <v>20</v>
      </c>
      <c r="M48" s="29" t="s">
        <v>139</v>
      </c>
      <c r="N48" t="s">
        <v>140</v>
      </c>
      <c r="O48" s="11">
        <v>3</v>
      </c>
      <c r="P48" s="10" t="s">
        <v>36</v>
      </c>
      <c r="Q48" s="29" t="s">
        <v>66</v>
      </c>
      <c r="R48" s="29" t="str">
        <f ca="1">VLOOKUP($S48,Legend!$A$12:$F$19,2,FALSE)</f>
        <v>Petric Calcisols</v>
      </c>
      <c r="S48" s="29" t="str">
        <f ca="1">VLOOKUP($S48,Legend!$A$12:$F$19,3,FALSE)</f>
        <v>Calcisol</v>
      </c>
      <c r="T48" s="29" t="str">
        <f ca="1">VLOOKUP($T48,Legend!$A$12:$F$19,4,FALSE)</f>
        <v>Petrocalcic hardpan / restricted rooting</v>
      </c>
      <c r="U48" s="29" t="str">
        <f ca="1">VLOOKUP($T48,Legend!$A$12:$F$19,5,FALSE)</f>
        <v>Low</v>
      </c>
      <c r="V48" s="11">
        <v>2</v>
      </c>
      <c r="W48" s="10" t="s">
        <v>191</v>
      </c>
      <c r="X48" s="29" t="s">
        <v>192</v>
      </c>
      <c r="Y48" s="11">
        <v>4</v>
      </c>
    </row>
    <row r="49" spans="1:25" x14ac:dyDescent="0.25">
      <c r="A49" s="26" t="s">
        <v>215</v>
      </c>
      <c r="B49" s="28">
        <v>691246</v>
      </c>
      <c r="C49" s="28">
        <v>3900843</v>
      </c>
      <c r="D49" s="27" t="s">
        <v>72</v>
      </c>
      <c r="E49" s="16" t="s">
        <v>72</v>
      </c>
      <c r="F49" s="15">
        <v>61.676202000000004</v>
      </c>
      <c r="G49" s="15">
        <v>305.52444000000003</v>
      </c>
      <c r="H49" s="10">
        <v>61.676202000000004</v>
      </c>
      <c r="I49" s="29">
        <v>61.676245000000002</v>
      </c>
      <c r="J49" s="29">
        <v>61.676202000000004</v>
      </c>
      <c r="K49" s="11">
        <v>61.676202000000004</v>
      </c>
      <c r="L49" t="s">
        <v>20</v>
      </c>
      <c r="M49" s="29" t="s">
        <v>139</v>
      </c>
      <c r="N49" t="s">
        <v>140</v>
      </c>
      <c r="O49" s="11">
        <v>3</v>
      </c>
      <c r="P49" s="10" t="s">
        <v>36</v>
      </c>
      <c r="Q49" s="29" t="s">
        <v>66</v>
      </c>
      <c r="R49" s="29" t="str">
        <f ca="1">VLOOKUP($S49,Legend!$A$12:$F$19,2,FALSE)</f>
        <v>Petric Calcisols</v>
      </c>
      <c r="S49" s="29" t="str">
        <f ca="1">VLOOKUP($S49,Legend!$A$12:$F$19,3,FALSE)</f>
        <v>Calcisol</v>
      </c>
      <c r="T49" s="29" t="str">
        <f ca="1">VLOOKUP($T49,Legend!$A$12:$F$19,4,FALSE)</f>
        <v>Petrocalcic hardpan / restricted rooting</v>
      </c>
      <c r="U49" s="29" t="str">
        <f ca="1">VLOOKUP($T49,Legend!$A$12:$F$19,5,FALSE)</f>
        <v>Low</v>
      </c>
      <c r="V49" s="11">
        <v>2</v>
      </c>
      <c r="W49" s="10" t="s">
        <v>191</v>
      </c>
      <c r="X49" s="29" t="s">
        <v>192</v>
      </c>
      <c r="Y49" s="11">
        <v>4</v>
      </c>
    </row>
    <row r="50" spans="1:25" x14ac:dyDescent="0.25">
      <c r="A50" s="26" t="s">
        <v>239</v>
      </c>
      <c r="B50" s="28">
        <v>689505</v>
      </c>
      <c r="C50" s="28">
        <v>3901282</v>
      </c>
      <c r="D50" s="25" t="s">
        <v>238</v>
      </c>
      <c r="E50" s="16" t="s">
        <v>72</v>
      </c>
      <c r="F50" s="15">
        <v>184.161011</v>
      </c>
      <c r="G50" s="15">
        <v>885.60978999999998</v>
      </c>
      <c r="H50" s="10">
        <v>184.161011</v>
      </c>
      <c r="I50" s="29">
        <v>184.161036</v>
      </c>
      <c r="J50" s="29">
        <v>184.161011</v>
      </c>
      <c r="K50" s="11">
        <v>184.161011</v>
      </c>
      <c r="L50" t="s">
        <v>20</v>
      </c>
      <c r="M50" s="29" t="s">
        <v>139</v>
      </c>
      <c r="N50" t="s">
        <v>140</v>
      </c>
      <c r="O50" s="11">
        <v>3</v>
      </c>
      <c r="P50" s="10" t="s">
        <v>36</v>
      </c>
      <c r="Q50" s="29" t="s">
        <v>66</v>
      </c>
      <c r="R50" s="29" t="str">
        <f ca="1">VLOOKUP($S50,Legend!$A$12:$F$19,2,FALSE)</f>
        <v>Petric Calcisols</v>
      </c>
      <c r="S50" s="29" t="str">
        <f ca="1">VLOOKUP($S50,Legend!$A$12:$F$19,3,FALSE)</f>
        <v>Calcisol</v>
      </c>
      <c r="T50" s="29" t="str">
        <f ca="1">VLOOKUP($T50,Legend!$A$12:$F$19,4,FALSE)</f>
        <v>Petrocalcic hardpan / restricted rooting</v>
      </c>
      <c r="U50" s="29" t="str">
        <f ca="1">VLOOKUP($T50,Legend!$A$12:$F$19,5,FALSE)</f>
        <v>Low</v>
      </c>
      <c r="V50" s="11">
        <v>2</v>
      </c>
      <c r="W50" s="10" t="s">
        <v>191</v>
      </c>
      <c r="X50" s="29" t="s">
        <v>192</v>
      </c>
      <c r="Y50" s="11">
        <v>4</v>
      </c>
    </row>
    <row r="51" spans="1:25" x14ac:dyDescent="0.25">
      <c r="A51" s="26" t="s">
        <v>237</v>
      </c>
      <c r="B51" s="28">
        <v>686145</v>
      </c>
      <c r="C51" s="28">
        <v>3901184</v>
      </c>
      <c r="D51" s="25" t="s">
        <v>238</v>
      </c>
      <c r="E51" s="16" t="s">
        <v>72</v>
      </c>
      <c r="F51" s="15">
        <v>63.454999000000001</v>
      </c>
      <c r="G51" s="15">
        <v>3768.302095</v>
      </c>
      <c r="H51" s="10">
        <v>63.454999000000001</v>
      </c>
      <c r="I51" s="29">
        <v>63.455029000000003</v>
      </c>
      <c r="J51" s="29">
        <v>63.454999000000001</v>
      </c>
      <c r="K51" s="11">
        <v>63.454999000000001</v>
      </c>
      <c r="L51" t="s">
        <v>20</v>
      </c>
      <c r="M51" s="29" t="s">
        <v>139</v>
      </c>
      <c r="N51" t="s">
        <v>140</v>
      </c>
      <c r="O51" s="11">
        <v>3</v>
      </c>
      <c r="P51" s="10" t="s">
        <v>36</v>
      </c>
      <c r="Q51" s="29" t="s">
        <v>66</v>
      </c>
      <c r="R51" s="29" t="str">
        <f ca="1">VLOOKUP($S51,Legend!$A$12:$F$19,2,FALSE)</f>
        <v>Petric Calcisols</v>
      </c>
      <c r="S51" s="29" t="str">
        <f ca="1">VLOOKUP($S51,Legend!$A$12:$F$19,3,FALSE)</f>
        <v>Calcisol</v>
      </c>
      <c r="T51" s="29" t="str">
        <f ca="1">VLOOKUP($T51,Legend!$A$12:$F$19,4,FALSE)</f>
        <v>Petrocalcic hardpan / restricted rooting</v>
      </c>
      <c r="U51" s="29" t="str">
        <f ca="1">VLOOKUP($T51,Legend!$A$12:$F$19,5,FALSE)</f>
        <v>Low</v>
      </c>
      <c r="V51" s="11">
        <v>2</v>
      </c>
      <c r="W51" s="10" t="s">
        <v>191</v>
      </c>
      <c r="X51" s="29" t="s">
        <v>192</v>
      </c>
      <c r="Y51" s="11">
        <v>4</v>
      </c>
    </row>
    <row r="52" spans="1:25" x14ac:dyDescent="0.25">
      <c r="A52" s="26" t="s">
        <v>236</v>
      </c>
      <c r="B52" s="28">
        <v>684298</v>
      </c>
      <c r="C52" s="28">
        <v>3901803</v>
      </c>
      <c r="D52" s="27" t="s">
        <v>72</v>
      </c>
      <c r="E52" t="s">
        <v>346</v>
      </c>
      <c r="F52" s="15">
        <v>561.35809900000004</v>
      </c>
      <c r="G52" s="15">
        <v>4534.4533309999997</v>
      </c>
      <c r="H52" s="10">
        <v>399.31646599999999</v>
      </c>
      <c r="I52" s="29">
        <v>561.35807299999999</v>
      </c>
      <c r="J52" s="29">
        <v>561.35809900000004</v>
      </c>
      <c r="K52" s="11">
        <v>561.35809900000004</v>
      </c>
      <c r="L52" t="s">
        <v>20</v>
      </c>
      <c r="M52" s="29" t="s">
        <v>139</v>
      </c>
      <c r="N52" t="s">
        <v>140</v>
      </c>
      <c r="O52" s="11">
        <v>3</v>
      </c>
      <c r="P52" s="10" t="s">
        <v>36</v>
      </c>
      <c r="Q52" s="29" t="s">
        <v>66</v>
      </c>
      <c r="R52" s="29" t="str">
        <f ca="1">VLOOKUP($S52,Legend!$A$12:$F$19,2,FALSE)</f>
        <v>Petric Calcisols</v>
      </c>
      <c r="S52" s="29" t="str">
        <f ca="1">VLOOKUP($S52,Legend!$A$12:$F$19,3,FALSE)</f>
        <v>Calcisol</v>
      </c>
      <c r="T52" s="29" t="str">
        <f ca="1">VLOOKUP($T52,Legend!$A$12:$F$19,4,FALSE)</f>
        <v>Petrocalcic hardpan / restricted rooting</v>
      </c>
      <c r="U52" s="29" t="str">
        <f ca="1">VLOOKUP($T52,Legend!$A$12:$F$19,5,FALSE)</f>
        <v>Low</v>
      </c>
      <c r="V52" s="11">
        <v>2</v>
      </c>
      <c r="W52" s="10" t="s">
        <v>193</v>
      </c>
      <c r="X52" s="29" t="s">
        <v>195</v>
      </c>
      <c r="Y52" s="11">
        <v>3</v>
      </c>
    </row>
    <row r="53" spans="1:25" x14ac:dyDescent="0.25">
      <c r="A53" s="26" t="s">
        <v>353</v>
      </c>
      <c r="B53" s="28">
        <v>684489</v>
      </c>
      <c r="C53" s="28">
        <v>3902135</v>
      </c>
      <c r="D53" s="27" t="s">
        <v>72</v>
      </c>
      <c r="E53" t="s">
        <v>346</v>
      </c>
      <c r="F53" s="15">
        <v>191.54125199999999</v>
      </c>
      <c r="G53" s="15">
        <v>4151.9646780000003</v>
      </c>
      <c r="H53" s="10">
        <v>191.54125199999999</v>
      </c>
      <c r="I53" s="29">
        <v>191.54122599999999</v>
      </c>
      <c r="J53" s="29">
        <v>191.54125199999999</v>
      </c>
      <c r="K53" s="11">
        <v>191.54125199999999</v>
      </c>
      <c r="L53" t="s">
        <v>20</v>
      </c>
      <c r="M53" s="29" t="s">
        <v>139</v>
      </c>
      <c r="N53" t="s">
        <v>140</v>
      </c>
      <c r="O53" s="11">
        <v>3</v>
      </c>
      <c r="P53" s="10" t="s">
        <v>36</v>
      </c>
      <c r="Q53" s="29" t="s">
        <v>66</v>
      </c>
      <c r="R53" s="29" t="str">
        <f ca="1">VLOOKUP($S53,Legend!$A$12:$F$19,2,FALSE)</f>
        <v>Petric Calcisols</v>
      </c>
      <c r="S53" s="29" t="str">
        <f ca="1">VLOOKUP($S53,Legend!$A$12:$F$19,3,FALSE)</f>
        <v>Calcisol</v>
      </c>
      <c r="T53" s="29" t="str">
        <f ca="1">VLOOKUP($T53,Legend!$A$12:$F$19,4,FALSE)</f>
        <v>Petrocalcic hardpan / restricted rooting</v>
      </c>
      <c r="U53" s="29" t="str">
        <f ca="1">VLOOKUP($T53,Legend!$A$12:$F$19,5,FALSE)</f>
        <v>Low</v>
      </c>
      <c r="V53" s="11">
        <v>2</v>
      </c>
      <c r="W53" s="10" t="s">
        <v>193</v>
      </c>
      <c r="X53" s="29" t="s">
        <v>195</v>
      </c>
      <c r="Y53" s="11">
        <v>3</v>
      </c>
    </row>
    <row r="54" spans="1:25" x14ac:dyDescent="0.25">
      <c r="A54" s="26" t="s">
        <v>235</v>
      </c>
      <c r="B54" s="28">
        <v>684699</v>
      </c>
      <c r="C54" s="28">
        <v>3901104</v>
      </c>
      <c r="D54" s="27" t="s">
        <v>72</v>
      </c>
      <c r="E54" s="16" t="s">
        <v>364</v>
      </c>
      <c r="F54" s="15">
        <v>772.075919</v>
      </c>
      <c r="G54" s="15">
        <v>4956.7022690000003</v>
      </c>
      <c r="H54" s="10">
        <v>523.14254200000005</v>
      </c>
      <c r="I54" s="29">
        <v>560.62196200000005</v>
      </c>
      <c r="J54" s="29">
        <v>578.20477500000004</v>
      </c>
      <c r="K54" s="11">
        <v>772.075919</v>
      </c>
      <c r="L54" t="s">
        <v>20</v>
      </c>
      <c r="M54" s="29" t="s">
        <v>139</v>
      </c>
      <c r="N54" t="s">
        <v>140</v>
      </c>
      <c r="O54" s="11">
        <v>3</v>
      </c>
      <c r="P54" s="10" t="s">
        <v>36</v>
      </c>
      <c r="Q54" s="29" t="s">
        <v>66</v>
      </c>
      <c r="R54" s="29" t="str">
        <f ca="1">VLOOKUP($S54,Legend!$A$12:$F$19,2,FALSE)</f>
        <v>Petric Calcisols</v>
      </c>
      <c r="S54" s="29" t="str">
        <f ca="1">VLOOKUP($S54,Legend!$A$12:$F$19,3,FALSE)</f>
        <v>Calcisol</v>
      </c>
      <c r="T54" s="29" t="str">
        <f ca="1">VLOOKUP($T54,Legend!$A$12:$F$19,4,FALSE)</f>
        <v>Petrocalcic hardpan / restricted rooting</v>
      </c>
      <c r="U54" s="29" t="str">
        <f ca="1">VLOOKUP($T54,Legend!$A$12:$F$19,5,FALSE)</f>
        <v>Low</v>
      </c>
      <c r="V54" s="11">
        <v>2</v>
      </c>
      <c r="W54" s="10" t="s">
        <v>193</v>
      </c>
      <c r="X54" s="29" t="s">
        <v>195</v>
      </c>
      <c r="Y54" s="11">
        <v>3</v>
      </c>
    </row>
    <row r="55" spans="1:25" x14ac:dyDescent="0.25">
      <c r="A55" s="26" t="s">
        <v>232</v>
      </c>
      <c r="B55" s="28">
        <v>684014</v>
      </c>
      <c r="C55" s="28">
        <v>3898977</v>
      </c>
      <c r="D55" s="25" t="s">
        <v>354</v>
      </c>
      <c r="E55" t="s">
        <v>346</v>
      </c>
      <c r="F55" s="15">
        <v>115.253652</v>
      </c>
      <c r="G55" s="15">
        <v>5678.8685930000001</v>
      </c>
      <c r="H55" s="10">
        <v>115.253652</v>
      </c>
      <c r="I55" s="29">
        <v>115.25369999999999</v>
      </c>
      <c r="J55" s="29">
        <v>115.253652</v>
      </c>
      <c r="K55" s="11">
        <v>115.253652</v>
      </c>
      <c r="L55" t="s">
        <v>20</v>
      </c>
      <c r="M55" s="29" t="s">
        <v>139</v>
      </c>
      <c r="N55" t="s">
        <v>140</v>
      </c>
      <c r="O55" s="11">
        <v>3</v>
      </c>
      <c r="P55" s="10" t="s">
        <v>36</v>
      </c>
      <c r="Q55" s="29" t="s">
        <v>66</v>
      </c>
      <c r="R55" s="29" t="str">
        <f ca="1">VLOOKUP($S55,Legend!$A$12:$F$19,2,FALSE)</f>
        <v>Petric Calcisols</v>
      </c>
      <c r="S55" s="29" t="str">
        <f ca="1">VLOOKUP($S55,Legend!$A$12:$F$19,3,FALSE)</f>
        <v>Calcisol</v>
      </c>
      <c r="T55" s="29" t="str">
        <f ca="1">VLOOKUP($T55,Legend!$A$12:$F$19,4,FALSE)</f>
        <v>Petrocalcic hardpan / restricted rooting</v>
      </c>
      <c r="U55" s="29" t="str">
        <f ca="1">VLOOKUP($T55,Legend!$A$12:$F$19,5,FALSE)</f>
        <v>Low</v>
      </c>
      <c r="V55" s="11">
        <v>2</v>
      </c>
      <c r="W55" s="10" t="s">
        <v>193</v>
      </c>
      <c r="X55" s="29" t="s">
        <v>195</v>
      </c>
      <c r="Y55" s="11">
        <v>3</v>
      </c>
    </row>
    <row r="56" spans="1:25" x14ac:dyDescent="0.25">
      <c r="A56" s="26" t="s">
        <v>233</v>
      </c>
      <c r="B56" s="28">
        <v>683648</v>
      </c>
      <c r="C56" s="28">
        <v>3899593</v>
      </c>
      <c r="D56" s="27" t="s">
        <v>72</v>
      </c>
      <c r="E56" s="16" t="s">
        <v>72</v>
      </c>
      <c r="F56" s="15">
        <v>59.064683000000002</v>
      </c>
      <c r="G56" s="15">
        <v>6383.6568459999999</v>
      </c>
      <c r="H56" s="10">
        <v>59.064683000000002</v>
      </c>
      <c r="I56" s="29">
        <v>59.064687999999997</v>
      </c>
      <c r="J56" s="29">
        <v>59.064683000000002</v>
      </c>
      <c r="K56" s="11">
        <v>59.064683000000002</v>
      </c>
      <c r="L56" t="s">
        <v>20</v>
      </c>
      <c r="M56" s="29" t="s">
        <v>139</v>
      </c>
      <c r="N56" t="s">
        <v>140</v>
      </c>
      <c r="O56" s="11">
        <v>3</v>
      </c>
      <c r="P56" s="10" t="s">
        <v>36</v>
      </c>
      <c r="Q56" s="29" t="s">
        <v>66</v>
      </c>
      <c r="R56" s="29" t="str">
        <f ca="1">VLOOKUP($S56,Legend!$A$12:$F$19,2,FALSE)</f>
        <v>Petric Calcisols</v>
      </c>
      <c r="S56" s="29" t="str">
        <f ca="1">VLOOKUP($S56,Legend!$A$12:$F$19,3,FALSE)</f>
        <v>Calcisol</v>
      </c>
      <c r="T56" s="29" t="str">
        <f ca="1">VLOOKUP($T56,Legend!$A$12:$F$19,4,FALSE)</f>
        <v>Petrocalcic hardpan / restricted rooting</v>
      </c>
      <c r="U56" s="29" t="str">
        <f ca="1">VLOOKUP($T56,Legend!$A$12:$F$19,5,FALSE)</f>
        <v>Low</v>
      </c>
      <c r="V56" s="11">
        <v>2</v>
      </c>
      <c r="W56" s="10" t="s">
        <v>193</v>
      </c>
      <c r="X56" s="29" t="s">
        <v>195</v>
      </c>
      <c r="Y56" s="11">
        <v>3</v>
      </c>
    </row>
    <row r="57" spans="1:25" x14ac:dyDescent="0.25">
      <c r="A57" s="26" t="s">
        <v>234</v>
      </c>
      <c r="B57" s="28">
        <v>682570</v>
      </c>
      <c r="C57" s="28">
        <v>3900267</v>
      </c>
      <c r="D57" s="27" t="s">
        <v>72</v>
      </c>
      <c r="E57" s="16" t="s">
        <v>355</v>
      </c>
      <c r="F57" s="15">
        <v>236.38143299999999</v>
      </c>
      <c r="G57" s="15">
        <v>6790.0579589999998</v>
      </c>
      <c r="H57" s="10">
        <v>236.38143299999999</v>
      </c>
      <c r="I57" s="29">
        <v>236.381452</v>
      </c>
      <c r="J57" s="29">
        <v>236.38143299999999</v>
      </c>
      <c r="K57" s="11">
        <v>236.38143299999999</v>
      </c>
      <c r="L57" t="s">
        <v>20</v>
      </c>
      <c r="M57" s="29" t="s">
        <v>139</v>
      </c>
      <c r="N57" t="s">
        <v>140</v>
      </c>
      <c r="O57" s="11">
        <v>3</v>
      </c>
      <c r="P57" s="10" t="s">
        <v>36</v>
      </c>
      <c r="Q57" s="29" t="s">
        <v>66</v>
      </c>
      <c r="R57" s="29" t="str">
        <f ca="1">VLOOKUP($S57,Legend!$A$12:$F$19,2,FALSE)</f>
        <v>Petric Calcisols</v>
      </c>
      <c r="S57" s="29" t="str">
        <f ca="1">VLOOKUP($S57,Legend!$A$12:$F$19,3,FALSE)</f>
        <v>Calcisol</v>
      </c>
      <c r="T57" s="29" t="str">
        <f ca="1">VLOOKUP($T57,Legend!$A$12:$F$19,4,FALSE)</f>
        <v>Petrocalcic hardpan / restricted rooting</v>
      </c>
      <c r="U57" s="29" t="str">
        <f ca="1">VLOOKUP($T57,Legend!$A$12:$F$19,5,FALSE)</f>
        <v>Low</v>
      </c>
      <c r="V57" s="11">
        <v>2</v>
      </c>
      <c r="W57" s="10" t="s">
        <v>193</v>
      </c>
      <c r="X57" s="29" t="s">
        <v>195</v>
      </c>
      <c r="Y57" s="11">
        <v>3</v>
      </c>
    </row>
    <row r="58" spans="1:25" x14ac:dyDescent="0.25">
      <c r="A58" s="26" t="s">
        <v>226</v>
      </c>
      <c r="B58" s="28">
        <v>679696</v>
      </c>
      <c r="C58" s="28">
        <v>3899980</v>
      </c>
      <c r="D58" t="s">
        <v>227</v>
      </c>
      <c r="E58" t="s">
        <v>347</v>
      </c>
      <c r="F58" s="15">
        <v>707.23775799999999</v>
      </c>
      <c r="G58" s="15">
        <v>8752.1219270000001</v>
      </c>
      <c r="H58" s="10">
        <v>41.200099000000002</v>
      </c>
      <c r="I58" s="29">
        <v>213.46486100000001</v>
      </c>
      <c r="J58" s="29">
        <v>213.46487500000001</v>
      </c>
      <c r="K58" s="11">
        <v>707.23775799999999</v>
      </c>
      <c r="L58" t="s">
        <v>20</v>
      </c>
      <c r="M58" s="29" t="s">
        <v>139</v>
      </c>
      <c r="N58" t="s">
        <v>140</v>
      </c>
      <c r="O58" s="11">
        <v>3</v>
      </c>
      <c r="P58" s="10" t="s">
        <v>65</v>
      </c>
      <c r="Q58" s="29" t="s">
        <v>66</v>
      </c>
      <c r="R58" s="29" t="str">
        <f ca="1">VLOOKUP($S58,Legend!$A$12:$F$19,2,FALSE)</f>
        <v>Petric Calcisols</v>
      </c>
      <c r="S58" s="29" t="str">
        <f ca="1">VLOOKUP($S58,Legend!$A$12:$F$19,3,FALSE)</f>
        <v>Calcisol</v>
      </c>
      <c r="T58" s="29" t="str">
        <f ca="1">VLOOKUP($T58,Legend!$A$12:$F$19,4,FALSE)</f>
        <v>Petrocalcic hardpan / restricted rooting</v>
      </c>
      <c r="U58" s="29" t="str">
        <f ca="1">VLOOKUP($T58,Legend!$A$12:$F$19,5,FALSE)</f>
        <v>Low</v>
      </c>
      <c r="V58" s="11">
        <v>2</v>
      </c>
      <c r="W58" s="10" t="s">
        <v>193</v>
      </c>
      <c r="X58" s="29" t="s">
        <v>195</v>
      </c>
      <c r="Y58" s="11">
        <v>3</v>
      </c>
    </row>
    <row r="59" spans="1:25" x14ac:dyDescent="0.25">
      <c r="A59" s="26" t="s">
        <v>228</v>
      </c>
      <c r="B59" s="28">
        <v>680756</v>
      </c>
      <c r="C59" s="28">
        <v>3899900</v>
      </c>
      <c r="D59" s="27" t="s">
        <v>72</v>
      </c>
      <c r="E59" s="16" t="s">
        <v>343</v>
      </c>
      <c r="F59" s="15">
        <v>560.72416799999996</v>
      </c>
      <c r="G59" s="15">
        <v>8033.9830110000003</v>
      </c>
      <c r="H59" s="10">
        <v>340.98055699999998</v>
      </c>
      <c r="I59" s="29">
        <v>443.23250400000001</v>
      </c>
      <c r="J59" s="29">
        <v>470.884075</v>
      </c>
      <c r="K59" s="11">
        <v>560.72416799999996</v>
      </c>
      <c r="L59" t="s">
        <v>20</v>
      </c>
      <c r="M59" s="29" t="s">
        <v>139</v>
      </c>
      <c r="N59" t="s">
        <v>140</v>
      </c>
      <c r="O59" s="11">
        <v>3</v>
      </c>
      <c r="P59" s="10" t="s">
        <v>65</v>
      </c>
      <c r="Q59" s="29" t="s">
        <v>66</v>
      </c>
      <c r="R59" s="29" t="str">
        <f ca="1">VLOOKUP($S59,Legend!$A$12:$F$19,2,FALSE)</f>
        <v>Petric Calcisols</v>
      </c>
      <c r="S59" s="29" t="str">
        <f ca="1">VLOOKUP($S59,Legend!$A$12:$F$19,3,FALSE)</f>
        <v>Calcisol</v>
      </c>
      <c r="T59" s="29" t="str">
        <f ca="1">VLOOKUP($T59,Legend!$A$12:$F$19,4,FALSE)</f>
        <v>Petrocalcic hardpan / restricted rooting</v>
      </c>
      <c r="U59" s="29" t="str">
        <f ca="1">VLOOKUP($T59,Legend!$A$12:$F$19,5,FALSE)</f>
        <v>Low</v>
      </c>
      <c r="V59" s="11">
        <v>2</v>
      </c>
      <c r="W59" s="10" t="s">
        <v>193</v>
      </c>
      <c r="X59" s="29" t="s">
        <v>195</v>
      </c>
      <c r="Y59" s="11">
        <v>3</v>
      </c>
    </row>
    <row r="60" spans="1:25" x14ac:dyDescent="0.25">
      <c r="A60" s="26" t="s">
        <v>313</v>
      </c>
      <c r="B60" s="28">
        <v>678315</v>
      </c>
      <c r="C60" s="28">
        <v>3900001</v>
      </c>
      <c r="D60" s="25" t="s">
        <v>314</v>
      </c>
      <c r="E60" t="s">
        <v>346</v>
      </c>
      <c r="F60" s="15">
        <v>467.409448</v>
      </c>
      <c r="G60" s="15">
        <v>9370.935684</v>
      </c>
      <c r="H60" s="10">
        <v>213.632465</v>
      </c>
      <c r="I60" s="29">
        <v>454.35605700000002</v>
      </c>
      <c r="J60" s="29">
        <v>467.409448</v>
      </c>
      <c r="K60" s="11">
        <v>467.409448</v>
      </c>
      <c r="L60" t="s">
        <v>20</v>
      </c>
      <c r="M60" s="29" t="s">
        <v>139</v>
      </c>
      <c r="N60" t="s">
        <v>140</v>
      </c>
      <c r="O60" s="11">
        <v>3</v>
      </c>
      <c r="P60" s="10" t="s">
        <v>36</v>
      </c>
      <c r="Q60" s="29" t="s">
        <v>66</v>
      </c>
      <c r="R60" s="29" t="str">
        <f ca="1">VLOOKUP($S60,Legend!$A$12:$F$19,2,FALSE)</f>
        <v>Petric Calcisols</v>
      </c>
      <c r="S60" s="29" t="str">
        <f ca="1">VLOOKUP($S60,Legend!$A$12:$F$19,3,FALSE)</f>
        <v>Calcisol</v>
      </c>
      <c r="T60" s="29" t="str">
        <f ca="1">VLOOKUP($T60,Legend!$A$12:$F$19,4,FALSE)</f>
        <v>Petrocalcic hardpan / restricted rooting</v>
      </c>
      <c r="U60" s="29" t="str">
        <f ca="1">VLOOKUP($T60,Legend!$A$12:$F$19,5,FALSE)</f>
        <v>Low</v>
      </c>
      <c r="V60" s="11">
        <v>2</v>
      </c>
      <c r="W60" s="10" t="s">
        <v>193</v>
      </c>
      <c r="X60" s="29" t="s">
        <v>195</v>
      </c>
      <c r="Y60" s="11">
        <v>3</v>
      </c>
    </row>
    <row r="61" spans="1:25" x14ac:dyDescent="0.25">
      <c r="A61" s="26" t="s">
        <v>292</v>
      </c>
      <c r="B61" s="28">
        <v>681040</v>
      </c>
      <c r="C61" s="28">
        <v>3902969</v>
      </c>
      <c r="D61" s="25"/>
      <c r="E61" s="16" t="s">
        <v>72</v>
      </c>
      <c r="F61" s="15">
        <v>1122.867319</v>
      </c>
      <c r="G61" s="15">
        <v>6187.8553439999996</v>
      </c>
      <c r="H61" s="10">
        <v>436.87480399999998</v>
      </c>
      <c r="I61" s="29">
        <v>515.60893099999998</v>
      </c>
      <c r="J61" s="29">
        <v>685.25302799999997</v>
      </c>
      <c r="K61" s="11">
        <v>1122.867319</v>
      </c>
      <c r="L61" t="s">
        <v>20</v>
      </c>
      <c r="M61" s="29" t="s">
        <v>139</v>
      </c>
      <c r="N61" t="s">
        <v>140</v>
      </c>
      <c r="O61" s="11">
        <v>3</v>
      </c>
      <c r="P61" s="10" t="s">
        <v>36</v>
      </c>
      <c r="Q61" s="29" t="s">
        <v>66</v>
      </c>
      <c r="R61" s="29" t="str">
        <f ca="1">VLOOKUP($S61,Legend!$A$12:$F$19,2,FALSE)</f>
        <v>Petric Calcisols</v>
      </c>
      <c r="S61" s="29" t="str">
        <f ca="1">VLOOKUP($S61,Legend!$A$12:$F$19,3,FALSE)</f>
        <v>Calcisol</v>
      </c>
      <c r="T61" s="29" t="str">
        <f ca="1">VLOOKUP($T61,Legend!$A$12:$F$19,4,FALSE)</f>
        <v>Petrocalcic hardpan / restricted rooting</v>
      </c>
      <c r="U61" s="29" t="str">
        <f ca="1">VLOOKUP($T61,Legend!$A$12:$F$19,5,FALSE)</f>
        <v>Low</v>
      </c>
      <c r="V61" s="11">
        <v>2</v>
      </c>
      <c r="W61" s="10" t="s">
        <v>193</v>
      </c>
      <c r="X61" s="29" t="s">
        <v>195</v>
      </c>
      <c r="Y61" s="11">
        <v>3</v>
      </c>
    </row>
    <row r="62" spans="1:25" x14ac:dyDescent="0.25">
      <c r="A62" s="26" t="s">
        <v>293</v>
      </c>
      <c r="B62" s="28">
        <v>678528</v>
      </c>
      <c r="C62" s="28">
        <v>3902687</v>
      </c>
      <c r="D62" s="25" t="s">
        <v>294</v>
      </c>
      <c r="E62" s="16" t="s">
        <v>72</v>
      </c>
      <c r="F62" s="15">
        <v>661.60789899999997</v>
      </c>
      <c r="G62" s="15">
        <v>8078.5979690000004</v>
      </c>
      <c r="H62" s="10">
        <v>126.903059</v>
      </c>
      <c r="I62" s="29">
        <v>520.67846399999996</v>
      </c>
      <c r="J62" s="29">
        <v>661.60789899999997</v>
      </c>
      <c r="K62" s="11">
        <v>661.60789899999997</v>
      </c>
      <c r="L62" t="s">
        <v>20</v>
      </c>
      <c r="M62" s="29" t="s">
        <v>139</v>
      </c>
      <c r="N62" t="s">
        <v>140</v>
      </c>
      <c r="O62" s="11">
        <v>3</v>
      </c>
      <c r="P62" s="10" t="s">
        <v>36</v>
      </c>
      <c r="Q62" s="29" t="s">
        <v>66</v>
      </c>
      <c r="R62" s="29" t="str">
        <f ca="1">VLOOKUP($S62,Legend!$A$12:$F$19,2,FALSE)</f>
        <v>Petric Calcisols</v>
      </c>
      <c r="S62" s="29" t="str">
        <f ca="1">VLOOKUP($S62,Legend!$A$12:$F$19,3,FALSE)</f>
        <v>Calcisol</v>
      </c>
      <c r="T62" s="29" t="str">
        <f ca="1">VLOOKUP($T62,Legend!$A$12:$F$19,4,FALSE)</f>
        <v>Petrocalcic hardpan / restricted rooting</v>
      </c>
      <c r="U62" s="29" t="str">
        <f ca="1">VLOOKUP($T62,Legend!$A$12:$F$19,5,FALSE)</f>
        <v>Low</v>
      </c>
      <c r="V62" s="11">
        <v>2</v>
      </c>
      <c r="W62" s="10" t="s">
        <v>193</v>
      </c>
      <c r="X62" s="29" t="s">
        <v>195</v>
      </c>
      <c r="Y62" s="11">
        <v>3</v>
      </c>
    </row>
    <row r="63" spans="1:25" x14ac:dyDescent="0.25">
      <c r="A63" s="26" t="s">
        <v>307</v>
      </c>
      <c r="B63" s="28">
        <v>676969</v>
      </c>
      <c r="C63" s="28">
        <v>3900772</v>
      </c>
      <c r="D63" s="25" t="s">
        <v>308</v>
      </c>
      <c r="E63" s="16" t="s">
        <v>72</v>
      </c>
      <c r="F63" s="15">
        <v>267.61069800000001</v>
      </c>
      <c r="G63" s="15">
        <v>7832.8606220000001</v>
      </c>
      <c r="H63" s="10">
        <v>267.61069800000001</v>
      </c>
      <c r="I63" s="29">
        <v>267.610659</v>
      </c>
      <c r="J63" s="29">
        <v>267.61069800000001</v>
      </c>
      <c r="K63" s="11">
        <v>267.61069800000001</v>
      </c>
      <c r="L63" t="s">
        <v>20</v>
      </c>
      <c r="M63" s="29" t="s">
        <v>139</v>
      </c>
      <c r="N63" t="s">
        <v>140</v>
      </c>
      <c r="O63" s="11">
        <v>3</v>
      </c>
      <c r="P63" s="10" t="s">
        <v>36</v>
      </c>
      <c r="Q63" s="29" t="s">
        <v>66</v>
      </c>
      <c r="R63" s="29" t="str">
        <f ca="1">VLOOKUP($S63,Legend!$A$12:$F$19,2,FALSE)</f>
        <v>Petric Calcisols</v>
      </c>
      <c r="S63" s="29" t="str">
        <f ca="1">VLOOKUP($S63,Legend!$A$12:$F$19,3,FALSE)</f>
        <v>Calcisol</v>
      </c>
      <c r="T63" s="29" t="str">
        <f ca="1">VLOOKUP($T63,Legend!$A$12:$F$19,4,FALSE)</f>
        <v>Petrocalcic hardpan / restricted rooting</v>
      </c>
      <c r="U63" s="29" t="str">
        <f ca="1">VLOOKUP($T63,Legend!$A$12:$F$19,5,FALSE)</f>
        <v>Low</v>
      </c>
      <c r="V63" s="11">
        <v>2</v>
      </c>
      <c r="W63" s="10" t="s">
        <v>193</v>
      </c>
      <c r="X63" s="29" t="s">
        <v>195</v>
      </c>
      <c r="Y63" s="11">
        <v>3</v>
      </c>
    </row>
    <row r="64" spans="1:25" x14ac:dyDescent="0.25">
      <c r="A64" s="26" t="s">
        <v>305</v>
      </c>
      <c r="B64" s="28">
        <v>676116</v>
      </c>
      <c r="C64" s="28">
        <v>3902240</v>
      </c>
      <c r="D64" s="27" t="s">
        <v>72</v>
      </c>
      <c r="E64" s="16" t="s">
        <v>72</v>
      </c>
      <c r="F64" s="15">
        <v>195.382972</v>
      </c>
      <c r="G64" s="15">
        <v>6289.2457889999996</v>
      </c>
      <c r="H64" s="10">
        <v>195.382972</v>
      </c>
      <c r="I64" s="29">
        <v>195.38296199999999</v>
      </c>
      <c r="J64" s="29">
        <v>195.382972</v>
      </c>
      <c r="K64" s="11">
        <v>195.382972</v>
      </c>
      <c r="L64" t="s">
        <v>20</v>
      </c>
      <c r="M64" s="29" t="s">
        <v>139</v>
      </c>
      <c r="N64" t="s">
        <v>140</v>
      </c>
      <c r="O64" s="11">
        <v>3</v>
      </c>
      <c r="P64" s="10" t="s">
        <v>36</v>
      </c>
      <c r="Q64" s="29" t="s">
        <v>66</v>
      </c>
      <c r="R64" s="29" t="str">
        <f ca="1">VLOOKUP($S64,Legend!$A$12:$F$19,2,FALSE)</f>
        <v>Petric Calcisols</v>
      </c>
      <c r="S64" s="29" t="str">
        <f ca="1">VLOOKUP($S64,Legend!$A$12:$F$19,3,FALSE)</f>
        <v>Calcisol</v>
      </c>
      <c r="T64" s="29" t="str">
        <f ca="1">VLOOKUP($T64,Legend!$A$12:$F$19,4,FALSE)</f>
        <v>Petrocalcic hardpan / restricted rooting</v>
      </c>
      <c r="U64" s="29" t="str">
        <f ca="1">VLOOKUP($T64,Legend!$A$12:$F$19,5,FALSE)</f>
        <v>Low</v>
      </c>
      <c r="V64" s="11">
        <v>2</v>
      </c>
      <c r="W64" s="10" t="s">
        <v>193</v>
      </c>
      <c r="X64" s="29" t="s">
        <v>195</v>
      </c>
      <c r="Y64" s="11">
        <v>3</v>
      </c>
    </row>
    <row r="65" spans="1:25" x14ac:dyDescent="0.25">
      <c r="A65" s="26" t="s">
        <v>309</v>
      </c>
      <c r="B65" s="28">
        <v>676654</v>
      </c>
      <c r="C65" s="28">
        <v>3900235</v>
      </c>
      <c r="D65" t="s">
        <v>310</v>
      </c>
      <c r="E65" s="16" t="s">
        <v>364</v>
      </c>
      <c r="F65" s="15">
        <v>199.24893399999999</v>
      </c>
      <c r="G65" s="15">
        <v>7935.5490239999999</v>
      </c>
      <c r="H65" s="10">
        <v>193.408163</v>
      </c>
      <c r="I65" s="29">
        <v>193.40815900000001</v>
      </c>
      <c r="J65" s="29">
        <v>199.24893399999999</v>
      </c>
      <c r="K65" s="11">
        <v>199.24893399999999</v>
      </c>
      <c r="L65" t="s">
        <v>20</v>
      </c>
      <c r="M65" s="29" t="s">
        <v>139</v>
      </c>
      <c r="N65" t="s">
        <v>140</v>
      </c>
      <c r="O65" s="11">
        <v>3</v>
      </c>
      <c r="P65" s="10" t="s">
        <v>36</v>
      </c>
      <c r="Q65" s="29" t="s">
        <v>66</v>
      </c>
      <c r="R65" s="29" t="str">
        <f ca="1">VLOOKUP($S65,Legend!$A$12:$F$19,2,FALSE)</f>
        <v>Petric Calcisols</v>
      </c>
      <c r="S65" s="29" t="str">
        <f ca="1">VLOOKUP($S65,Legend!$A$12:$F$19,3,FALSE)</f>
        <v>Calcisol</v>
      </c>
      <c r="T65" s="29" t="str">
        <f ca="1">VLOOKUP($T65,Legend!$A$12:$F$19,4,FALSE)</f>
        <v>Petrocalcic hardpan / restricted rooting</v>
      </c>
      <c r="U65" s="29" t="str">
        <f ca="1">VLOOKUP($T65,Legend!$A$12:$F$19,5,FALSE)</f>
        <v>Low</v>
      </c>
      <c r="V65" s="11">
        <v>2</v>
      </c>
      <c r="W65" s="10" t="s">
        <v>193</v>
      </c>
      <c r="X65" s="29" t="s">
        <v>195</v>
      </c>
      <c r="Y65" s="11">
        <v>3</v>
      </c>
    </row>
    <row r="66" spans="1:25" x14ac:dyDescent="0.25">
      <c r="A66" s="26" t="s">
        <v>326</v>
      </c>
      <c r="B66" s="28">
        <v>674092</v>
      </c>
      <c r="C66" s="28">
        <v>3901546</v>
      </c>
      <c r="D66" t="s">
        <v>327</v>
      </c>
      <c r="E66" s="16" t="s">
        <v>72</v>
      </c>
      <c r="F66" s="15">
        <v>33.928738000000003</v>
      </c>
      <c r="G66" s="15">
        <v>5163.2864</v>
      </c>
      <c r="H66" s="10">
        <v>33.928738000000003</v>
      </c>
      <c r="I66" s="29">
        <v>33.928730999999999</v>
      </c>
      <c r="J66" s="29">
        <v>33.928738000000003</v>
      </c>
      <c r="K66" s="11">
        <v>33.928738000000003</v>
      </c>
      <c r="L66" t="s">
        <v>20</v>
      </c>
      <c r="M66" s="29" t="s">
        <v>139</v>
      </c>
      <c r="N66" t="s">
        <v>140</v>
      </c>
      <c r="O66" s="11">
        <v>3</v>
      </c>
      <c r="P66" s="10" t="s">
        <v>65</v>
      </c>
      <c r="Q66" s="29" t="s">
        <v>66</v>
      </c>
      <c r="R66" s="29" t="str">
        <f ca="1">VLOOKUP($S66,Legend!$A$12:$F$19,2,FALSE)</f>
        <v>Petric Calcisols</v>
      </c>
      <c r="S66" s="29" t="str">
        <f ca="1">VLOOKUP($S66,Legend!$A$12:$F$19,3,FALSE)</f>
        <v>Calcisol</v>
      </c>
      <c r="T66" s="29" t="str">
        <f ca="1">VLOOKUP($T66,Legend!$A$12:$F$19,4,FALSE)</f>
        <v>Petrocalcic hardpan / restricted rooting</v>
      </c>
      <c r="U66" s="29" t="str">
        <f ca="1">VLOOKUP($T66,Legend!$A$12:$F$19,5,FALSE)</f>
        <v>Low</v>
      </c>
      <c r="V66" s="11">
        <v>2</v>
      </c>
      <c r="W66" s="10" t="s">
        <v>193</v>
      </c>
      <c r="X66" s="29" t="s">
        <v>195</v>
      </c>
      <c r="Y66" s="11">
        <v>3</v>
      </c>
    </row>
    <row r="67" spans="1:25" x14ac:dyDescent="0.25">
      <c r="A67" s="26" t="s">
        <v>306</v>
      </c>
      <c r="B67" s="28">
        <v>677159</v>
      </c>
      <c r="C67" s="28">
        <v>3904023</v>
      </c>
      <c r="D67" s="27" t="s">
        <v>72</v>
      </c>
      <c r="E67" s="16" t="s">
        <v>72</v>
      </c>
      <c r="F67" s="15">
        <v>5.2825340000000001</v>
      </c>
      <c r="G67" s="15">
        <v>6231.5226929999999</v>
      </c>
      <c r="H67" s="10">
        <v>5.2825340000000001</v>
      </c>
      <c r="I67" s="29">
        <v>5.2825119999999997</v>
      </c>
      <c r="J67" s="29">
        <v>5.2825340000000001</v>
      </c>
      <c r="K67" s="11">
        <v>5.2825340000000001</v>
      </c>
      <c r="L67" t="s">
        <v>20</v>
      </c>
      <c r="M67" s="29" t="s">
        <v>139</v>
      </c>
      <c r="N67" t="s">
        <v>140</v>
      </c>
      <c r="O67" s="11">
        <v>3</v>
      </c>
      <c r="P67" s="10" t="s">
        <v>36</v>
      </c>
      <c r="Q67" s="29" t="s">
        <v>66</v>
      </c>
      <c r="R67" s="29" t="str">
        <f ca="1">VLOOKUP($S67,Legend!$A$12:$F$19,2,FALSE)</f>
        <v>Petric Calcisols</v>
      </c>
      <c r="S67" s="29" t="str">
        <f ca="1">VLOOKUP($S67,Legend!$A$12:$F$19,3,FALSE)</f>
        <v>Calcisol</v>
      </c>
      <c r="T67" s="29" t="str">
        <f ca="1">VLOOKUP($T67,Legend!$A$12:$F$19,4,FALSE)</f>
        <v>Petrocalcic hardpan / restricted rooting</v>
      </c>
      <c r="U67" s="29" t="str">
        <f ca="1">VLOOKUP($T67,Legend!$A$12:$F$19,5,FALSE)</f>
        <v>Low</v>
      </c>
      <c r="V67" s="11">
        <v>2</v>
      </c>
      <c r="W67" s="10" t="s">
        <v>193</v>
      </c>
      <c r="X67" s="29" t="s">
        <v>195</v>
      </c>
      <c r="Y67" s="11">
        <v>3</v>
      </c>
    </row>
    <row r="68" spans="1:25" x14ac:dyDescent="0.25">
      <c r="A68" s="26" t="s">
        <v>303</v>
      </c>
      <c r="B68" s="28">
        <v>675619</v>
      </c>
      <c r="C68" s="28">
        <v>3903194</v>
      </c>
      <c r="D68" s="27" t="s">
        <v>72</v>
      </c>
      <c r="E68" s="16" t="s">
        <v>72</v>
      </c>
      <c r="F68" s="15">
        <v>129.64783399999999</v>
      </c>
      <c r="G68" s="15">
        <v>5337.7710530000004</v>
      </c>
      <c r="H68" s="10">
        <v>105.05282</v>
      </c>
      <c r="I68" s="29">
        <v>105.052842</v>
      </c>
      <c r="J68" s="29">
        <v>129.64783399999999</v>
      </c>
      <c r="K68" s="11">
        <v>129.64783399999999</v>
      </c>
      <c r="L68" t="s">
        <v>20</v>
      </c>
      <c r="M68" s="29" t="s">
        <v>139</v>
      </c>
      <c r="N68" t="s">
        <v>140</v>
      </c>
      <c r="O68" s="11">
        <v>3</v>
      </c>
      <c r="P68" s="10" t="s">
        <v>36</v>
      </c>
      <c r="Q68" s="29" t="s">
        <v>66</v>
      </c>
      <c r="R68" s="29" t="str">
        <f ca="1">VLOOKUP($S68,Legend!$A$12:$F$19,2,FALSE)</f>
        <v>Petric Calcisols</v>
      </c>
      <c r="S68" s="29" t="str">
        <f ca="1">VLOOKUP($S68,Legend!$A$12:$F$19,3,FALSE)</f>
        <v>Calcisol</v>
      </c>
      <c r="T68" s="29" t="str">
        <f ca="1">VLOOKUP($T68,Legend!$A$12:$F$19,4,FALSE)</f>
        <v>Petrocalcic hardpan / restricted rooting</v>
      </c>
      <c r="U68" s="29" t="str">
        <f ca="1">VLOOKUP($T68,Legend!$A$12:$F$19,5,FALSE)</f>
        <v>Low</v>
      </c>
      <c r="V68" s="11">
        <v>2</v>
      </c>
      <c r="W68" s="10" t="s">
        <v>193</v>
      </c>
      <c r="X68" s="29" t="s">
        <v>195</v>
      </c>
      <c r="Y68" s="11">
        <v>3</v>
      </c>
    </row>
    <row r="69" spans="1:25" x14ac:dyDescent="0.25">
      <c r="A69" s="26" t="s">
        <v>301</v>
      </c>
      <c r="B69" s="28">
        <v>674942</v>
      </c>
      <c r="C69" s="28">
        <v>3902800</v>
      </c>
      <c r="D69" s="25" t="s">
        <v>302</v>
      </c>
      <c r="E69" s="16" t="s">
        <v>72</v>
      </c>
      <c r="F69" s="15">
        <v>201.39687000000001</v>
      </c>
      <c r="G69" s="15">
        <v>4999.6607350000004</v>
      </c>
      <c r="H69" s="10">
        <v>149.05351999999999</v>
      </c>
      <c r="I69" s="29">
        <v>149.05353600000001</v>
      </c>
      <c r="J69" s="29">
        <v>149.05351999999999</v>
      </c>
      <c r="K69" s="11">
        <v>201.39687000000001</v>
      </c>
      <c r="L69" t="s">
        <v>20</v>
      </c>
      <c r="M69" s="29" t="s">
        <v>139</v>
      </c>
      <c r="N69" t="s">
        <v>140</v>
      </c>
      <c r="O69" s="11">
        <v>3</v>
      </c>
      <c r="P69" s="10" t="s">
        <v>36</v>
      </c>
      <c r="Q69" s="29" t="s">
        <v>66</v>
      </c>
      <c r="R69" s="29" t="str">
        <f ca="1">VLOOKUP($S69,Legend!$A$12:$F$19,2,FALSE)</f>
        <v>Petric Calcisols</v>
      </c>
      <c r="S69" s="29" t="str">
        <f ca="1">VLOOKUP($S69,Legend!$A$12:$F$19,3,FALSE)</f>
        <v>Calcisol</v>
      </c>
      <c r="T69" s="29" t="str">
        <f ca="1">VLOOKUP($T69,Legend!$A$12:$F$19,4,FALSE)</f>
        <v>Petrocalcic hardpan / restricted rooting</v>
      </c>
      <c r="U69" s="29" t="str">
        <f ca="1">VLOOKUP($T69,Legend!$A$12:$F$19,5,FALSE)</f>
        <v>Low</v>
      </c>
      <c r="V69" s="11">
        <v>2</v>
      </c>
      <c r="W69" s="10" t="s">
        <v>191</v>
      </c>
      <c r="X69" s="29" t="s">
        <v>192</v>
      </c>
      <c r="Y69" s="11">
        <v>4</v>
      </c>
    </row>
    <row r="70" spans="1:25" x14ac:dyDescent="0.25">
      <c r="A70" s="26" t="s">
        <v>300</v>
      </c>
      <c r="B70" s="28">
        <v>672146</v>
      </c>
      <c r="C70" s="28">
        <v>3903604</v>
      </c>
      <c r="D70" t="s">
        <v>356</v>
      </c>
      <c r="E70" t="s">
        <v>346</v>
      </c>
      <c r="F70" s="15">
        <v>784.59630200000004</v>
      </c>
      <c r="G70" s="15">
        <v>2331.0026469999998</v>
      </c>
      <c r="H70" s="10">
        <v>164.30715799999999</v>
      </c>
      <c r="I70" s="29">
        <v>164.30714800000001</v>
      </c>
      <c r="J70" s="29">
        <v>164.30715799999999</v>
      </c>
      <c r="K70" s="11">
        <v>784.59630200000004</v>
      </c>
      <c r="L70" t="s">
        <v>20</v>
      </c>
      <c r="M70" s="29" t="s">
        <v>139</v>
      </c>
      <c r="N70" t="s">
        <v>140</v>
      </c>
      <c r="O70" s="11">
        <v>3</v>
      </c>
      <c r="P70" s="10" t="s">
        <v>65</v>
      </c>
      <c r="Q70" s="29" t="s">
        <v>66</v>
      </c>
      <c r="R70" s="29" t="str">
        <f ca="1">VLOOKUP($S70,Legend!$A$12:$F$19,2,FALSE)</f>
        <v>Petric Calcisols</v>
      </c>
      <c r="S70" s="29" t="str">
        <f ca="1">VLOOKUP($S70,Legend!$A$12:$F$19,3,FALSE)</f>
        <v>Calcisol</v>
      </c>
      <c r="T70" s="29" t="str">
        <f ca="1">VLOOKUP($T70,Legend!$A$12:$F$19,4,FALSE)</f>
        <v>Petrocalcic hardpan / restricted rooting</v>
      </c>
      <c r="U70" s="29" t="str">
        <f ca="1">VLOOKUP($T70,Legend!$A$12:$F$19,5,FALSE)</f>
        <v>Low</v>
      </c>
      <c r="V70" s="11">
        <v>2</v>
      </c>
      <c r="W70" s="10" t="s">
        <v>193</v>
      </c>
      <c r="X70" s="29" t="s">
        <v>195</v>
      </c>
      <c r="Y70" s="11">
        <v>3</v>
      </c>
    </row>
    <row r="71" spans="1:25" x14ac:dyDescent="0.25">
      <c r="A71" s="26" t="s">
        <v>304</v>
      </c>
      <c r="B71" s="28">
        <v>671915</v>
      </c>
      <c r="C71" s="28">
        <v>3902311</v>
      </c>
      <c r="D71" s="27" t="s">
        <v>72</v>
      </c>
      <c r="E71" s="16" t="s">
        <v>72</v>
      </c>
      <c r="F71" s="15">
        <v>206.03117499999999</v>
      </c>
      <c r="G71" s="15">
        <v>3169.1439529999998</v>
      </c>
      <c r="H71" s="10">
        <v>206.03117499999999</v>
      </c>
      <c r="I71" s="29">
        <v>206.03117</v>
      </c>
      <c r="J71" s="29">
        <v>206.03117499999999</v>
      </c>
      <c r="K71" s="11">
        <v>206.03117499999999</v>
      </c>
      <c r="L71" t="s">
        <v>20</v>
      </c>
      <c r="M71" s="29" t="s">
        <v>139</v>
      </c>
      <c r="N71" t="s">
        <v>140</v>
      </c>
      <c r="O71" s="11">
        <v>3</v>
      </c>
      <c r="P71" s="10" t="s">
        <v>65</v>
      </c>
      <c r="Q71" s="29" t="s">
        <v>66</v>
      </c>
      <c r="R71" s="29" t="str">
        <f ca="1">VLOOKUP($S71,Legend!$A$12:$F$19,2,FALSE)</f>
        <v>Petric Calcisols</v>
      </c>
      <c r="S71" s="29" t="str">
        <f ca="1">VLOOKUP($S71,Legend!$A$12:$F$19,3,FALSE)</f>
        <v>Calcisol</v>
      </c>
      <c r="T71" s="29" t="str">
        <f ca="1">VLOOKUP($T71,Legend!$A$12:$F$19,4,FALSE)</f>
        <v>Petrocalcic hardpan / restricted rooting</v>
      </c>
      <c r="U71" s="29" t="str">
        <f ca="1">VLOOKUP($T71,Legend!$A$12:$F$19,5,FALSE)</f>
        <v>Low</v>
      </c>
      <c r="V71" s="11">
        <v>2</v>
      </c>
      <c r="W71" s="10" t="s">
        <v>193</v>
      </c>
      <c r="X71" s="29" t="s">
        <v>195</v>
      </c>
      <c r="Y71" s="11">
        <v>3</v>
      </c>
    </row>
    <row r="72" spans="1:25" x14ac:dyDescent="0.25">
      <c r="A72" s="26" t="s">
        <v>325</v>
      </c>
      <c r="B72" s="28">
        <v>668812</v>
      </c>
      <c r="C72" s="28">
        <v>3901697</v>
      </c>
      <c r="D72" s="25" t="s">
        <v>357</v>
      </c>
      <c r="E72" t="s">
        <v>346</v>
      </c>
      <c r="F72" s="15">
        <v>305.60256199999998</v>
      </c>
      <c r="G72" s="15">
        <v>1379.3556249999999</v>
      </c>
      <c r="H72" s="10">
        <v>305.60256199999998</v>
      </c>
      <c r="I72" s="29">
        <v>305.60257999999999</v>
      </c>
      <c r="J72" s="29">
        <v>305.60256199999998</v>
      </c>
      <c r="K72" s="11">
        <v>305.60256199999998</v>
      </c>
      <c r="L72" t="s">
        <v>20</v>
      </c>
      <c r="M72" s="29" t="s">
        <v>139</v>
      </c>
      <c r="N72" t="s">
        <v>140</v>
      </c>
      <c r="O72" s="11">
        <v>3</v>
      </c>
      <c r="P72" s="10" t="s">
        <v>65</v>
      </c>
      <c r="Q72" s="29" t="s">
        <v>66</v>
      </c>
      <c r="R72" s="29" t="str">
        <f ca="1">VLOOKUP($S72,Legend!$A$12:$F$19,2,FALSE)</f>
        <v>Petric Calcisols</v>
      </c>
      <c r="S72" s="29" t="str">
        <f ca="1">VLOOKUP($S72,Legend!$A$12:$F$19,3,FALSE)</f>
        <v>Calcisol</v>
      </c>
      <c r="T72" s="29" t="str">
        <f ca="1">VLOOKUP($T72,Legend!$A$12:$F$19,4,FALSE)</f>
        <v>Petrocalcic hardpan / restricted rooting</v>
      </c>
      <c r="U72" s="29" t="str">
        <f ca="1">VLOOKUP($T72,Legend!$A$12:$F$19,5,FALSE)</f>
        <v>Low</v>
      </c>
      <c r="V72" s="11">
        <v>2</v>
      </c>
      <c r="W72" s="10" t="s">
        <v>191</v>
      </c>
      <c r="X72" s="29" t="s">
        <v>192</v>
      </c>
      <c r="Y72" s="11">
        <v>4</v>
      </c>
    </row>
    <row r="73" spans="1:25" x14ac:dyDescent="0.25">
      <c r="A73" s="26" t="s">
        <v>323</v>
      </c>
      <c r="B73" s="28">
        <v>664249</v>
      </c>
      <c r="C73" s="28">
        <v>3901775</v>
      </c>
      <c r="D73" s="25" t="s">
        <v>324</v>
      </c>
      <c r="E73" t="s">
        <v>343</v>
      </c>
      <c r="F73" s="15">
        <v>426.51115499999997</v>
      </c>
      <c r="G73" s="15">
        <v>1770.0516709999999</v>
      </c>
      <c r="H73" s="10">
        <v>143.41083800000001</v>
      </c>
      <c r="I73" s="29">
        <v>143.41080099999999</v>
      </c>
      <c r="J73" s="29">
        <v>143.41083800000001</v>
      </c>
      <c r="K73" s="11">
        <v>426.51115499999997</v>
      </c>
      <c r="L73" t="s">
        <v>20</v>
      </c>
      <c r="M73" s="29" t="s">
        <v>139</v>
      </c>
      <c r="N73" t="s">
        <v>140</v>
      </c>
      <c r="O73" s="11">
        <v>3</v>
      </c>
      <c r="P73" s="10" t="s">
        <v>36</v>
      </c>
      <c r="Q73" s="29" t="s">
        <v>66</v>
      </c>
      <c r="R73" s="29" t="str">
        <f ca="1">VLOOKUP($S73,Legend!$A$12:$F$19,2,FALSE)</f>
        <v>Petric Calcisols</v>
      </c>
      <c r="S73" s="29" t="str">
        <f ca="1">VLOOKUP($S73,Legend!$A$12:$F$19,3,FALSE)</f>
        <v>Calcisol</v>
      </c>
      <c r="T73" s="29" t="str">
        <f ca="1">VLOOKUP($T73,Legend!$A$12:$F$19,4,FALSE)</f>
        <v>Petrocalcic hardpan / restricted rooting</v>
      </c>
      <c r="U73" s="29" t="str">
        <f ca="1">VLOOKUP($T73,Legend!$A$12:$F$19,5,FALSE)</f>
        <v>Low</v>
      </c>
      <c r="V73" s="11">
        <v>2</v>
      </c>
      <c r="W73" s="10" t="s">
        <v>191</v>
      </c>
      <c r="X73" s="29" t="s">
        <v>192</v>
      </c>
      <c r="Y73" s="11">
        <v>4</v>
      </c>
    </row>
    <row r="74" spans="1:25" x14ac:dyDescent="0.25">
      <c r="A74" s="26" t="s">
        <v>330</v>
      </c>
      <c r="B74" s="28">
        <v>667358</v>
      </c>
      <c r="C74" s="28">
        <v>3897928</v>
      </c>
      <c r="D74" s="25" t="s">
        <v>331</v>
      </c>
      <c r="E74" s="16" t="s">
        <v>72</v>
      </c>
      <c r="F74" s="15">
        <v>166.39585700000001</v>
      </c>
      <c r="G74" s="15">
        <v>2859.5152440000002</v>
      </c>
      <c r="H74" s="10">
        <v>166.39585700000001</v>
      </c>
      <c r="I74" s="29">
        <v>166.39585199999999</v>
      </c>
      <c r="J74" s="29">
        <v>166.39585700000001</v>
      </c>
      <c r="K74" s="11">
        <v>166.39585700000001</v>
      </c>
      <c r="L74" t="s">
        <v>20</v>
      </c>
      <c r="M74" s="29" t="s">
        <v>139</v>
      </c>
      <c r="N74" t="s">
        <v>140</v>
      </c>
      <c r="O74" s="11">
        <v>3</v>
      </c>
      <c r="P74" s="10" t="s">
        <v>65</v>
      </c>
      <c r="Q74" s="29" t="s">
        <v>66</v>
      </c>
      <c r="R74" s="29" t="str">
        <f ca="1">VLOOKUP($S74,Legend!$A$12:$F$19,2,FALSE)</f>
        <v>Petric Calcisols</v>
      </c>
      <c r="S74" s="29" t="str">
        <f ca="1">VLOOKUP($S74,Legend!$A$12:$F$19,3,FALSE)</f>
        <v>Calcisol</v>
      </c>
      <c r="T74" s="29" t="str">
        <f ca="1">VLOOKUP($T74,Legend!$A$12:$F$19,4,FALSE)</f>
        <v>Petrocalcic hardpan / restricted rooting</v>
      </c>
      <c r="U74" s="29" t="str">
        <f ca="1">VLOOKUP($T74,Legend!$A$12:$F$19,5,FALSE)</f>
        <v>Low</v>
      </c>
      <c r="V74" s="11">
        <v>2</v>
      </c>
      <c r="W74" s="10" t="s">
        <v>191</v>
      </c>
      <c r="X74" s="29" t="s">
        <v>192</v>
      </c>
      <c r="Y74" s="11">
        <v>4</v>
      </c>
    </row>
    <row r="75" spans="1:25" x14ac:dyDescent="0.25">
      <c r="A75" s="26" t="s">
        <v>334</v>
      </c>
      <c r="B75" s="28">
        <v>668548</v>
      </c>
      <c r="C75" s="28">
        <v>3892734</v>
      </c>
      <c r="D75" s="25" t="s">
        <v>335</v>
      </c>
      <c r="E75" s="16" t="s">
        <v>72</v>
      </c>
      <c r="F75" s="15">
        <v>821.19806300000005</v>
      </c>
      <c r="G75" s="15">
        <v>1343.9447540000001</v>
      </c>
      <c r="H75" s="10">
        <v>388.99516899999998</v>
      </c>
      <c r="I75" s="29">
        <v>388.99511899999999</v>
      </c>
      <c r="J75" s="29">
        <v>388.99516899999998</v>
      </c>
      <c r="K75" s="11">
        <v>821.19806300000005</v>
      </c>
      <c r="L75" t="s">
        <v>20</v>
      </c>
      <c r="M75" s="29" t="s">
        <v>139</v>
      </c>
      <c r="N75" t="s">
        <v>140</v>
      </c>
      <c r="O75" s="11">
        <v>3</v>
      </c>
      <c r="P75" s="10" t="s">
        <v>65</v>
      </c>
      <c r="Q75" s="29" t="s">
        <v>66</v>
      </c>
      <c r="R75" s="29" t="str">
        <f ca="1">VLOOKUP($S75,Legend!$A$12:$F$19,2,FALSE)</f>
        <v>Petric Calcisols</v>
      </c>
      <c r="S75" s="29" t="str">
        <f ca="1">VLOOKUP($S75,Legend!$A$12:$F$19,3,FALSE)</f>
        <v>Calcisol</v>
      </c>
      <c r="T75" s="29" t="str">
        <f ca="1">VLOOKUP($T75,Legend!$A$12:$F$19,4,FALSE)</f>
        <v>Petrocalcic hardpan / restricted rooting</v>
      </c>
      <c r="U75" s="29" t="str">
        <f ca="1">VLOOKUP($T75,Legend!$A$12:$F$19,5,FALSE)</f>
        <v>Low</v>
      </c>
      <c r="V75" s="11">
        <v>2</v>
      </c>
      <c r="W75" s="10" t="s">
        <v>191</v>
      </c>
      <c r="X75" s="29" t="s">
        <v>192</v>
      </c>
      <c r="Y75" s="11">
        <v>4</v>
      </c>
    </row>
    <row r="76" spans="1:25" x14ac:dyDescent="0.25">
      <c r="A76" s="26" t="s">
        <v>332</v>
      </c>
      <c r="B76" s="28">
        <v>670010</v>
      </c>
      <c r="C76" s="28">
        <v>3894790</v>
      </c>
      <c r="D76" t="s">
        <v>333</v>
      </c>
      <c r="E76" t="s">
        <v>346</v>
      </c>
      <c r="F76" s="15">
        <v>78.814207999999994</v>
      </c>
      <c r="G76" s="15">
        <v>3452.0678440000002</v>
      </c>
      <c r="H76" s="10">
        <v>78.814207999999994</v>
      </c>
      <c r="I76" s="29">
        <v>78.814193000000003</v>
      </c>
      <c r="J76" s="29">
        <v>78.814207999999994</v>
      </c>
      <c r="K76" s="11">
        <v>78.814207999999994</v>
      </c>
      <c r="L76" t="s">
        <v>20</v>
      </c>
      <c r="M76" s="29" t="s">
        <v>139</v>
      </c>
      <c r="N76" t="s">
        <v>140</v>
      </c>
      <c r="O76" s="11">
        <v>3</v>
      </c>
      <c r="P76" s="10" t="s">
        <v>65</v>
      </c>
      <c r="Q76" s="29" t="s">
        <v>66</v>
      </c>
      <c r="R76" s="29" t="str">
        <f ca="1">VLOOKUP($S76,Legend!$A$12:$F$19,2,FALSE)</f>
        <v>Petric Calcisols</v>
      </c>
      <c r="S76" s="29" t="str">
        <f ca="1">VLOOKUP($S76,Legend!$A$12:$F$19,3,FALSE)</f>
        <v>Calcisol</v>
      </c>
      <c r="T76" s="29" t="str">
        <f ca="1">VLOOKUP($T76,Legend!$A$12:$F$19,4,FALSE)</f>
        <v>Petrocalcic hardpan / restricted rooting</v>
      </c>
      <c r="U76" s="29" t="str">
        <f ca="1">VLOOKUP($T76,Legend!$A$12:$F$19,5,FALSE)</f>
        <v>Low</v>
      </c>
      <c r="V76" s="11">
        <v>2</v>
      </c>
      <c r="W76" s="10" t="s">
        <v>191</v>
      </c>
      <c r="X76" s="29" t="s">
        <v>192</v>
      </c>
      <c r="Y76" s="11">
        <v>4</v>
      </c>
    </row>
    <row r="77" spans="1:25" x14ac:dyDescent="0.25">
      <c r="A77" s="26" t="s">
        <v>328</v>
      </c>
      <c r="B77" s="28">
        <v>670267</v>
      </c>
      <c r="C77" s="28">
        <v>3896929</v>
      </c>
      <c r="D77" t="s">
        <v>329</v>
      </c>
      <c r="E77" s="16" t="s">
        <v>72</v>
      </c>
      <c r="F77" s="15">
        <v>141.818164</v>
      </c>
      <c r="G77" s="15">
        <v>4876.6670629999999</v>
      </c>
      <c r="H77" s="10">
        <v>31.564457999999998</v>
      </c>
      <c r="I77" s="29">
        <v>141.81819999999999</v>
      </c>
      <c r="J77" s="29">
        <v>141.818164</v>
      </c>
      <c r="K77" s="11">
        <v>141.818164</v>
      </c>
      <c r="L77" t="s">
        <v>20</v>
      </c>
      <c r="M77" s="29" t="s">
        <v>139</v>
      </c>
      <c r="N77" t="s">
        <v>140</v>
      </c>
      <c r="O77" s="11">
        <v>3</v>
      </c>
      <c r="P77" s="10" t="s">
        <v>65</v>
      </c>
      <c r="Q77" s="29" t="s">
        <v>66</v>
      </c>
      <c r="R77" s="29" t="str">
        <f ca="1">VLOOKUP($S77,Legend!$A$12:$F$19,2,FALSE)</f>
        <v>Petric Calcisols</v>
      </c>
      <c r="S77" s="29" t="str">
        <f ca="1">VLOOKUP($S77,Legend!$A$12:$F$19,3,FALSE)</f>
        <v>Calcisol</v>
      </c>
      <c r="T77" s="29" t="str">
        <f ca="1">VLOOKUP($T77,Legend!$A$12:$F$19,4,FALSE)</f>
        <v>Petrocalcic hardpan / restricted rooting</v>
      </c>
      <c r="U77" s="29" t="str">
        <f ca="1">VLOOKUP($T77,Legend!$A$12:$F$19,5,FALSE)</f>
        <v>Low</v>
      </c>
      <c r="V77" s="11">
        <v>2</v>
      </c>
      <c r="W77" s="10" t="s">
        <v>191</v>
      </c>
      <c r="X77" s="29" t="s">
        <v>192</v>
      </c>
      <c r="Y77" s="11">
        <v>4</v>
      </c>
    </row>
    <row r="78" spans="1:25" x14ac:dyDescent="0.25">
      <c r="A78" s="16" t="s">
        <v>336</v>
      </c>
      <c r="B78" s="2">
        <v>675010</v>
      </c>
      <c r="C78" s="2">
        <v>3892538</v>
      </c>
      <c r="D78" t="s">
        <v>337</v>
      </c>
      <c r="E78" s="16" t="s">
        <v>346</v>
      </c>
      <c r="F78" s="15">
        <v>1128.4689499999999</v>
      </c>
      <c r="G78" s="15">
        <v>7346.9040429999995</v>
      </c>
      <c r="H78" s="10">
        <v>120.48532400000001</v>
      </c>
      <c r="I78" s="29">
        <v>120.485354</v>
      </c>
      <c r="J78" s="29">
        <v>120.48532400000001</v>
      </c>
      <c r="K78" s="11">
        <v>1128.4689499999999</v>
      </c>
      <c r="L78" t="s">
        <v>20</v>
      </c>
      <c r="M78" s="29" t="s">
        <v>139</v>
      </c>
      <c r="N78" t="s">
        <v>140</v>
      </c>
      <c r="O78" s="11">
        <v>3</v>
      </c>
      <c r="P78" s="10" t="s">
        <v>65</v>
      </c>
      <c r="Q78" s="29" t="s">
        <v>66</v>
      </c>
      <c r="R78" s="29" t="str">
        <f ca="1">VLOOKUP($S78,Legend!$A$12:$F$19,2,FALSE)</f>
        <v>Petric Calcisols</v>
      </c>
      <c r="S78" s="29" t="str">
        <f ca="1">VLOOKUP($S78,Legend!$A$12:$F$19,3,FALSE)</f>
        <v>Calcisol</v>
      </c>
      <c r="T78" s="29" t="str">
        <f ca="1">VLOOKUP($T78,Legend!$A$12:$F$19,4,FALSE)</f>
        <v>Petrocalcic hardpan / restricted rooting</v>
      </c>
      <c r="U78" s="29" t="str">
        <f ca="1">VLOOKUP($T78,Legend!$A$12:$F$19,5,FALSE)</f>
        <v>Low</v>
      </c>
      <c r="V78" s="11">
        <v>2</v>
      </c>
      <c r="W78" s="10" t="s">
        <v>193</v>
      </c>
      <c r="X78" s="29" t="s">
        <v>195</v>
      </c>
      <c r="Y78" s="11">
        <v>3</v>
      </c>
    </row>
    <row r="79" spans="1:25" x14ac:dyDescent="0.25">
      <c r="A79" s="16" t="s">
        <v>338</v>
      </c>
      <c r="B79" s="2">
        <v>676103</v>
      </c>
      <c r="C79" s="2">
        <v>3893769</v>
      </c>
      <c r="D79" t="s">
        <v>339</v>
      </c>
      <c r="E79" s="16" t="s">
        <v>72</v>
      </c>
      <c r="F79" s="15">
        <v>1957.238928</v>
      </c>
      <c r="G79" s="15">
        <v>8437.4925839999996</v>
      </c>
      <c r="H79" s="10">
        <v>192.59462199999999</v>
      </c>
      <c r="I79" s="29">
        <v>212.33263600000001</v>
      </c>
      <c r="J79" s="29">
        <v>212.33258799999999</v>
      </c>
      <c r="K79" s="11">
        <v>1957.238928</v>
      </c>
      <c r="L79" t="s">
        <v>20</v>
      </c>
      <c r="M79" s="29" t="s">
        <v>139</v>
      </c>
      <c r="N79" t="s">
        <v>140</v>
      </c>
      <c r="O79" s="11">
        <v>3</v>
      </c>
      <c r="P79" s="10" t="s">
        <v>65</v>
      </c>
      <c r="Q79" s="29" t="s">
        <v>66</v>
      </c>
      <c r="R79" s="29" t="str">
        <f ca="1">VLOOKUP($S79,Legend!$A$12:$F$19,2,FALSE)</f>
        <v>Petric Calcisols</v>
      </c>
      <c r="S79" s="29" t="str">
        <f ca="1">VLOOKUP($S79,Legend!$A$12:$F$19,3,FALSE)</f>
        <v>Calcisol</v>
      </c>
      <c r="T79" s="29" t="str">
        <f ca="1">VLOOKUP($T79,Legend!$A$12:$F$19,4,FALSE)</f>
        <v>Petrocalcic hardpan / restricted rooting</v>
      </c>
      <c r="U79" s="29" t="str">
        <f ca="1">VLOOKUP($T79,Legend!$A$12:$F$19,5,FALSE)</f>
        <v>Low</v>
      </c>
      <c r="V79" s="11">
        <v>2</v>
      </c>
      <c r="W79" s="10" t="s">
        <v>193</v>
      </c>
      <c r="X79" s="29" t="s">
        <v>195</v>
      </c>
      <c r="Y79" s="11">
        <v>3</v>
      </c>
    </row>
    <row r="80" spans="1:25" x14ac:dyDescent="0.25">
      <c r="A80" s="16" t="s">
        <v>340</v>
      </c>
      <c r="B80" s="2">
        <v>675545</v>
      </c>
      <c r="C80" s="2">
        <v>3898078</v>
      </c>
      <c r="D80" t="s">
        <v>341</v>
      </c>
      <c r="E80" s="16" t="s">
        <v>72</v>
      </c>
      <c r="F80" s="15">
        <v>673.87760900000001</v>
      </c>
      <c r="G80" s="15">
        <v>8744.707821</v>
      </c>
      <c r="H80" s="10">
        <v>0.94056499999999998</v>
      </c>
      <c r="I80" s="29">
        <v>0.94055500000000003</v>
      </c>
      <c r="J80" s="29">
        <v>0.94056499999999998</v>
      </c>
      <c r="K80" s="11">
        <v>673.87760900000001</v>
      </c>
      <c r="L80" t="s">
        <v>20</v>
      </c>
      <c r="M80" s="29" t="s">
        <v>139</v>
      </c>
      <c r="N80" t="s">
        <v>140</v>
      </c>
      <c r="O80" s="11">
        <v>3</v>
      </c>
      <c r="P80" s="10" t="s">
        <v>65</v>
      </c>
      <c r="Q80" s="29" t="s">
        <v>66</v>
      </c>
      <c r="R80" s="29" t="str">
        <f ca="1">VLOOKUP($S80,Legend!$A$12:$F$19,2,FALSE)</f>
        <v>Petric Calcisols</v>
      </c>
      <c r="S80" s="29" t="str">
        <f ca="1">VLOOKUP($S80,Legend!$A$12:$F$19,3,FALSE)</f>
        <v>Calcisol</v>
      </c>
      <c r="T80" s="29" t="str">
        <f ca="1">VLOOKUP($T80,Legend!$A$12:$F$19,4,FALSE)</f>
        <v>Petrocalcic hardpan / restricted rooting</v>
      </c>
      <c r="U80" s="29" t="str">
        <f ca="1">VLOOKUP($T80,Legend!$A$12:$F$19,5,FALSE)</f>
        <v>Low</v>
      </c>
      <c r="V80" s="11">
        <v>2</v>
      </c>
      <c r="W80" s="10" t="s">
        <v>193</v>
      </c>
      <c r="X80" s="29" t="s">
        <v>195</v>
      </c>
      <c r="Y80" s="11">
        <v>3</v>
      </c>
    </row>
    <row r="81" spans="1:25" x14ac:dyDescent="0.25">
      <c r="A81" s="16" t="s">
        <v>224</v>
      </c>
      <c r="B81" s="2">
        <v>680279</v>
      </c>
      <c r="C81" s="2">
        <v>3897368</v>
      </c>
      <c r="D81" t="s">
        <v>225</v>
      </c>
      <c r="E81" s="16" t="s">
        <v>72</v>
      </c>
      <c r="F81" s="15">
        <v>583.94223999999997</v>
      </c>
      <c r="G81" s="15">
        <v>6518.02639</v>
      </c>
      <c r="H81" s="10">
        <v>546.29920800000002</v>
      </c>
      <c r="I81" s="29">
        <v>546.29921200000001</v>
      </c>
      <c r="J81" s="29">
        <v>546.29920800000002</v>
      </c>
      <c r="K81" s="11">
        <v>583.94223999999997</v>
      </c>
      <c r="L81" t="s">
        <v>20</v>
      </c>
      <c r="M81" s="29" t="s">
        <v>139</v>
      </c>
      <c r="N81" t="s">
        <v>140</v>
      </c>
      <c r="O81" s="11">
        <v>3</v>
      </c>
      <c r="P81" s="10" t="s">
        <v>36</v>
      </c>
      <c r="Q81" s="29" t="s">
        <v>66</v>
      </c>
      <c r="R81" s="29" t="str">
        <f ca="1">VLOOKUP($S81,Legend!$A$12:$F$19,2,FALSE)</f>
        <v>Petric Calcisols</v>
      </c>
      <c r="S81" s="29" t="str">
        <f ca="1">VLOOKUP($S81,Legend!$A$12:$F$19,3,FALSE)</f>
        <v>Calcisol</v>
      </c>
      <c r="T81" s="29" t="str">
        <f ca="1">VLOOKUP($T81,Legend!$A$12:$F$19,4,FALSE)</f>
        <v>Petrocalcic hardpan / restricted rooting</v>
      </c>
      <c r="U81" s="29" t="str">
        <f ca="1">VLOOKUP($T81,Legend!$A$12:$F$19,5,FALSE)</f>
        <v>Low</v>
      </c>
      <c r="V81" s="11">
        <v>2</v>
      </c>
      <c r="W81" s="10" t="s">
        <v>193</v>
      </c>
      <c r="X81" s="29" t="s">
        <v>195</v>
      </c>
      <c r="Y81" s="11">
        <v>3</v>
      </c>
    </row>
    <row r="82" spans="1:25" x14ac:dyDescent="0.25">
      <c r="A82" s="16" t="s">
        <v>358</v>
      </c>
      <c r="B82" s="2">
        <v>679731</v>
      </c>
      <c r="C82" s="2">
        <v>3897647</v>
      </c>
      <c r="D82" t="s">
        <v>225</v>
      </c>
      <c r="E82" s="16" t="s">
        <v>366</v>
      </c>
      <c r="F82" s="15">
        <v>542.47939799999995</v>
      </c>
      <c r="G82" s="15">
        <v>7122.5942649999997</v>
      </c>
      <c r="H82" s="10">
        <v>559.52526499999999</v>
      </c>
      <c r="I82" s="29">
        <v>542.47939299999996</v>
      </c>
      <c r="J82" s="29">
        <v>542.47939799999995</v>
      </c>
      <c r="K82" s="11">
        <v>542.47939799999995</v>
      </c>
      <c r="L82" t="s">
        <v>20</v>
      </c>
      <c r="M82" s="29" t="s">
        <v>139</v>
      </c>
      <c r="N82" t="s">
        <v>140</v>
      </c>
      <c r="O82" s="11">
        <v>3</v>
      </c>
      <c r="P82" s="10" t="s">
        <v>36</v>
      </c>
      <c r="Q82" s="29" t="s">
        <v>66</v>
      </c>
      <c r="R82" s="29" t="str">
        <f ca="1">VLOOKUP($S82,Legend!$A$12:$F$19,2,FALSE)</f>
        <v>Petric Calcisols</v>
      </c>
      <c r="S82" s="29" t="str">
        <f ca="1">VLOOKUP($S82,Legend!$A$12:$F$19,3,FALSE)</f>
        <v>Calcisol</v>
      </c>
      <c r="T82" s="29" t="str">
        <f ca="1">VLOOKUP($T82,Legend!$A$12:$F$19,4,FALSE)</f>
        <v>Petrocalcic hardpan / restricted rooting</v>
      </c>
      <c r="U82" s="29" t="str">
        <f ca="1">VLOOKUP($T82,Legend!$A$12:$F$19,5,FALSE)</f>
        <v>Low</v>
      </c>
      <c r="V82" s="11">
        <v>2</v>
      </c>
      <c r="W82" s="10" t="s">
        <v>193</v>
      </c>
      <c r="X82" s="29" t="s">
        <v>195</v>
      </c>
      <c r="Y82" s="11">
        <v>3</v>
      </c>
    </row>
    <row r="83" spans="1:25" x14ac:dyDescent="0.25">
      <c r="A83" s="16" t="s">
        <v>223</v>
      </c>
      <c r="B83" s="2">
        <v>680735</v>
      </c>
      <c r="C83" s="2">
        <v>3896078</v>
      </c>
      <c r="D83" s="16" t="s">
        <v>72</v>
      </c>
      <c r="E83" s="16" t="s">
        <v>363</v>
      </c>
      <c r="F83" s="15">
        <v>721.05605700000001</v>
      </c>
      <c r="G83" s="15">
        <v>5411.5493630000001</v>
      </c>
      <c r="H83" s="10">
        <v>156.629706</v>
      </c>
      <c r="I83" s="29">
        <v>156.62969200000001</v>
      </c>
      <c r="J83" s="29">
        <v>165.17201800000001</v>
      </c>
      <c r="K83" s="11">
        <v>721.05605700000001</v>
      </c>
      <c r="L83" t="s">
        <v>20</v>
      </c>
      <c r="M83" s="29" t="s">
        <v>139</v>
      </c>
      <c r="N83" t="s">
        <v>140</v>
      </c>
      <c r="O83" s="11">
        <v>3</v>
      </c>
      <c r="P83" s="10" t="s">
        <v>65</v>
      </c>
      <c r="Q83" s="29" t="s">
        <v>66</v>
      </c>
      <c r="R83" s="29" t="str">
        <f ca="1">VLOOKUP($S83,Legend!$A$12:$F$19,2,FALSE)</f>
        <v>Petric Calcisols</v>
      </c>
      <c r="S83" s="29" t="str">
        <f ca="1">VLOOKUP($S83,Legend!$A$12:$F$19,3,FALSE)</f>
        <v>Calcisol</v>
      </c>
      <c r="T83" s="29" t="str">
        <f ca="1">VLOOKUP($T83,Legend!$A$12:$F$19,4,FALSE)</f>
        <v>Petrocalcic hardpan / restricted rooting</v>
      </c>
      <c r="U83" s="29" t="str">
        <f ca="1">VLOOKUP($T83,Legend!$A$12:$F$19,5,FALSE)</f>
        <v>Low</v>
      </c>
      <c r="V83" s="11">
        <v>2</v>
      </c>
      <c r="W83" s="10" t="s">
        <v>193</v>
      </c>
      <c r="X83" s="29" t="s">
        <v>195</v>
      </c>
      <c r="Y83" s="11">
        <v>3</v>
      </c>
    </row>
    <row r="84" spans="1:25" x14ac:dyDescent="0.25">
      <c r="A84" s="16" t="s">
        <v>312</v>
      </c>
      <c r="B84" s="2">
        <v>680553</v>
      </c>
      <c r="C84" s="2">
        <v>3894908</v>
      </c>
      <c r="D84" t="s">
        <v>359</v>
      </c>
      <c r="E84" s="16" t="s">
        <v>367</v>
      </c>
      <c r="F84" s="15">
        <v>779.57608400000004</v>
      </c>
      <c r="G84" s="15">
        <v>5004.4055120000003</v>
      </c>
      <c r="H84" s="10">
        <v>87.934072</v>
      </c>
      <c r="I84" s="29">
        <v>89.217915000000005</v>
      </c>
      <c r="J84" s="29">
        <v>88.257080000000002</v>
      </c>
      <c r="K84" s="11">
        <v>779.57608400000004</v>
      </c>
      <c r="L84" t="s">
        <v>20</v>
      </c>
      <c r="M84" s="29" t="s">
        <v>139</v>
      </c>
      <c r="N84" t="s">
        <v>140</v>
      </c>
      <c r="O84" s="11">
        <v>3</v>
      </c>
      <c r="P84" s="10" t="s">
        <v>65</v>
      </c>
      <c r="Q84" s="29" t="s">
        <v>66</v>
      </c>
      <c r="R84" s="29" t="str">
        <f ca="1">VLOOKUP($S84,Legend!$A$12:$F$19,2,FALSE)</f>
        <v>Petric Calcisols</v>
      </c>
      <c r="S84" s="29" t="str">
        <f ca="1">VLOOKUP($S84,Legend!$A$12:$F$19,3,FALSE)</f>
        <v>Calcisol</v>
      </c>
      <c r="T84" s="29" t="str">
        <f ca="1">VLOOKUP($T84,Legend!$A$12:$F$19,4,FALSE)</f>
        <v>Petrocalcic hardpan / restricted rooting</v>
      </c>
      <c r="U84" s="29" t="str">
        <f ca="1">VLOOKUP($T84,Legend!$A$12:$F$19,5,FALSE)</f>
        <v>Low</v>
      </c>
      <c r="V84" s="11">
        <v>2</v>
      </c>
      <c r="W84" s="10" t="s">
        <v>191</v>
      </c>
      <c r="X84" s="29" t="s">
        <v>192</v>
      </c>
      <c r="Y84" s="11">
        <v>4</v>
      </c>
    </row>
    <row r="85" spans="1:25" x14ac:dyDescent="0.25">
      <c r="A85" s="16" t="s">
        <v>220</v>
      </c>
      <c r="B85" s="2">
        <v>682891</v>
      </c>
      <c r="C85" s="2">
        <v>3892733</v>
      </c>
      <c r="D85" t="s">
        <v>221</v>
      </c>
      <c r="E85" s="16" t="s">
        <v>72</v>
      </c>
      <c r="F85" s="15">
        <v>853.69687999999996</v>
      </c>
      <c r="G85" s="15">
        <v>1915.586229</v>
      </c>
      <c r="H85" s="10">
        <v>594.73786800000005</v>
      </c>
      <c r="I85" s="29">
        <v>594.73786399999995</v>
      </c>
      <c r="J85" s="29">
        <v>594.76076799999998</v>
      </c>
      <c r="K85" s="11">
        <v>853.69687999999996</v>
      </c>
      <c r="L85" t="s">
        <v>20</v>
      </c>
      <c r="M85" s="29" t="s">
        <v>139</v>
      </c>
      <c r="N85" t="s">
        <v>140</v>
      </c>
      <c r="O85" s="11">
        <v>3</v>
      </c>
      <c r="P85" s="10" t="s">
        <v>65</v>
      </c>
      <c r="Q85" s="29" t="s">
        <v>66</v>
      </c>
      <c r="R85" s="29" t="str">
        <f ca="1">VLOOKUP($S85,Legend!$A$12:$F$19,2,FALSE)</f>
        <v>Petric Calcisols</v>
      </c>
      <c r="S85" s="29" t="str">
        <f ca="1">VLOOKUP($S85,Legend!$A$12:$F$19,3,FALSE)</f>
        <v>Calcisol</v>
      </c>
      <c r="T85" s="29" t="str">
        <f ca="1">VLOOKUP($T85,Legend!$A$12:$F$19,4,FALSE)</f>
        <v>Petrocalcic hardpan / restricted rooting</v>
      </c>
      <c r="U85" s="29" t="str">
        <f ca="1">VLOOKUP($T85,Legend!$A$12:$F$19,5,FALSE)</f>
        <v>Low</v>
      </c>
      <c r="V85" s="11">
        <v>2</v>
      </c>
      <c r="W85" s="10" t="s">
        <v>191</v>
      </c>
      <c r="X85" s="29" t="s">
        <v>192</v>
      </c>
      <c r="Y85" s="11">
        <v>4</v>
      </c>
    </row>
    <row r="86" spans="1:25" x14ac:dyDescent="0.25">
      <c r="A86" s="16" t="s">
        <v>222</v>
      </c>
      <c r="B86" s="2">
        <v>683049</v>
      </c>
      <c r="C86" s="2">
        <v>3893612</v>
      </c>
      <c r="D86" s="16" t="s">
        <v>72</v>
      </c>
      <c r="E86" s="16" t="s">
        <v>72</v>
      </c>
      <c r="F86" s="15">
        <v>732.802413</v>
      </c>
      <c r="G86" s="15">
        <v>2192.2714799999999</v>
      </c>
      <c r="H86" s="10">
        <v>62.086274000000003</v>
      </c>
      <c r="I86" s="29">
        <v>62.086281</v>
      </c>
      <c r="J86" s="29">
        <v>62.086274000000003</v>
      </c>
      <c r="K86" s="11">
        <v>732.802413</v>
      </c>
      <c r="L86" t="s">
        <v>20</v>
      </c>
      <c r="M86" s="29" t="s">
        <v>139</v>
      </c>
      <c r="N86" t="s">
        <v>140</v>
      </c>
      <c r="O86" s="11">
        <v>3</v>
      </c>
      <c r="P86" s="10" t="s">
        <v>65</v>
      </c>
      <c r="Q86" s="29" t="s">
        <v>66</v>
      </c>
      <c r="R86" s="29" t="str">
        <f ca="1">VLOOKUP($S86,Legend!$A$12:$F$19,2,FALSE)</f>
        <v>Petric Calcisols</v>
      </c>
      <c r="S86" s="29" t="str">
        <f ca="1">VLOOKUP($S86,Legend!$A$12:$F$19,3,FALSE)</f>
        <v>Calcisol</v>
      </c>
      <c r="T86" s="29" t="str">
        <f ca="1">VLOOKUP($T86,Legend!$A$12:$F$19,4,FALSE)</f>
        <v>Petrocalcic hardpan / restricted rooting</v>
      </c>
      <c r="U86" s="29" t="str">
        <f ca="1">VLOOKUP($T86,Legend!$A$12:$F$19,5,FALSE)</f>
        <v>Low</v>
      </c>
      <c r="V86" s="11">
        <v>2</v>
      </c>
      <c r="W86" s="10" t="s">
        <v>191</v>
      </c>
      <c r="X86" s="29" t="s">
        <v>192</v>
      </c>
      <c r="Y86" s="11">
        <v>4</v>
      </c>
    </row>
    <row r="87" spans="1:25" x14ac:dyDescent="0.25">
      <c r="A87" s="16" t="s">
        <v>219</v>
      </c>
      <c r="B87" s="2">
        <v>686754</v>
      </c>
      <c r="C87" s="2">
        <v>3892178</v>
      </c>
      <c r="D87" t="s">
        <v>360</v>
      </c>
      <c r="E87" t="s">
        <v>361</v>
      </c>
      <c r="F87" s="15">
        <v>1360.517732</v>
      </c>
      <c r="G87" s="15">
        <v>1648.555415</v>
      </c>
      <c r="H87" s="10">
        <v>123.52397000000001</v>
      </c>
      <c r="I87" s="29">
        <v>894.98787600000003</v>
      </c>
      <c r="J87" s="29">
        <v>888.67785500000002</v>
      </c>
      <c r="K87" s="11">
        <v>1360.517732</v>
      </c>
      <c r="L87" t="s">
        <v>20</v>
      </c>
      <c r="M87" s="29" t="s">
        <v>139</v>
      </c>
      <c r="N87" t="s">
        <v>140</v>
      </c>
      <c r="O87" s="11">
        <v>3</v>
      </c>
      <c r="P87" s="10" t="s">
        <v>65</v>
      </c>
      <c r="Q87" s="29" t="s">
        <v>66</v>
      </c>
      <c r="R87" s="29" t="str">
        <f ca="1">VLOOKUP($S87,Legend!$A$12:$F$19,2,FALSE)</f>
        <v>Petric Calcisols</v>
      </c>
      <c r="S87" s="29" t="str">
        <f ca="1">VLOOKUP($S87,Legend!$A$12:$F$19,3,FALSE)</f>
        <v>Calcisol</v>
      </c>
      <c r="T87" s="29" t="str">
        <f ca="1">VLOOKUP($T87,Legend!$A$12:$F$19,4,FALSE)</f>
        <v>Petrocalcic hardpan / restricted rooting</v>
      </c>
      <c r="U87" s="29" t="str">
        <f ca="1">VLOOKUP($T87,Legend!$A$12:$F$19,5,FALSE)</f>
        <v>Low</v>
      </c>
      <c r="V87" s="11">
        <v>2</v>
      </c>
      <c r="W87" s="10" t="s">
        <v>191</v>
      </c>
      <c r="X87" s="29" t="s">
        <v>192</v>
      </c>
      <c r="Y87" s="11">
        <v>4</v>
      </c>
    </row>
    <row r="88" spans="1:25" x14ac:dyDescent="0.25">
      <c r="A88" s="16" t="s">
        <v>229</v>
      </c>
      <c r="B88" s="2">
        <v>684015</v>
      </c>
      <c r="C88" s="2">
        <v>3895826</v>
      </c>
      <c r="D88" s="16" t="s">
        <v>72</v>
      </c>
      <c r="E88" s="16" t="s">
        <v>72</v>
      </c>
      <c r="F88" s="15">
        <v>1338.23955</v>
      </c>
      <c r="G88" s="15">
        <v>2827.7311559999998</v>
      </c>
      <c r="H88" s="10">
        <v>54.564351000000002</v>
      </c>
      <c r="I88" s="29">
        <v>54.564399999999999</v>
      </c>
      <c r="J88" s="29">
        <v>54.564351000000002</v>
      </c>
      <c r="K88" s="11">
        <v>1338.23955</v>
      </c>
      <c r="L88" t="s">
        <v>20</v>
      </c>
      <c r="M88" s="29" t="s">
        <v>139</v>
      </c>
      <c r="N88" t="s">
        <v>140</v>
      </c>
      <c r="O88" s="11">
        <v>3</v>
      </c>
      <c r="P88" s="10" t="s">
        <v>65</v>
      </c>
      <c r="Q88" s="29" t="s">
        <v>66</v>
      </c>
      <c r="R88" s="29" t="str">
        <f ca="1">VLOOKUP($S88,Legend!$A$12:$F$19,2,FALSE)</f>
        <v>Petric Calcisols</v>
      </c>
      <c r="S88" s="29" t="str">
        <f ca="1">VLOOKUP($S88,Legend!$A$12:$F$19,3,FALSE)</f>
        <v>Calcisol</v>
      </c>
      <c r="T88" s="29" t="str">
        <f ca="1">VLOOKUP($T88,Legend!$A$12:$F$19,4,FALSE)</f>
        <v>Petrocalcic hardpan / restricted rooting</v>
      </c>
      <c r="U88" s="29" t="str">
        <f ca="1">VLOOKUP($T88,Legend!$A$12:$F$19,5,FALSE)</f>
        <v>Low</v>
      </c>
      <c r="V88" s="11">
        <v>2</v>
      </c>
      <c r="W88" s="10" t="s">
        <v>191</v>
      </c>
      <c r="X88" s="29" t="s">
        <v>192</v>
      </c>
      <c r="Y88" s="11">
        <v>4</v>
      </c>
    </row>
    <row r="89" spans="1:25" x14ac:dyDescent="0.25">
      <c r="A89" s="16" t="s">
        <v>230</v>
      </c>
      <c r="B89" s="2">
        <v>683763</v>
      </c>
      <c r="C89" s="2">
        <v>3897030</v>
      </c>
      <c r="D89" s="16" t="s">
        <v>72</v>
      </c>
      <c r="E89" s="16" t="s">
        <v>72</v>
      </c>
      <c r="F89" s="15">
        <v>1857.234522</v>
      </c>
      <c r="G89" s="15">
        <v>3982.7226900000001</v>
      </c>
      <c r="H89" s="10">
        <v>291.03278699999998</v>
      </c>
      <c r="I89" s="29">
        <v>348.92334</v>
      </c>
      <c r="J89" s="29">
        <v>348.92331000000001</v>
      </c>
      <c r="K89" s="11">
        <v>1857.234522</v>
      </c>
      <c r="L89" t="s">
        <v>20</v>
      </c>
      <c r="M89" s="29" t="s">
        <v>139</v>
      </c>
      <c r="N89" t="s">
        <v>140</v>
      </c>
      <c r="O89" s="11">
        <v>3</v>
      </c>
      <c r="P89" s="10" t="s">
        <v>65</v>
      </c>
      <c r="Q89" s="29" t="s">
        <v>66</v>
      </c>
      <c r="R89" s="29" t="str">
        <f ca="1">VLOOKUP($S89,Legend!$A$12:$F$19,2,FALSE)</f>
        <v>Petric Calcisols</v>
      </c>
      <c r="S89" s="29" t="str">
        <f ca="1">VLOOKUP($S89,Legend!$A$12:$F$19,3,FALSE)</f>
        <v>Calcisol</v>
      </c>
      <c r="T89" s="29" t="str">
        <f ca="1">VLOOKUP($T89,Legend!$A$12:$F$19,4,FALSE)</f>
        <v>Petrocalcic hardpan / restricted rooting</v>
      </c>
      <c r="U89" s="29" t="str">
        <f ca="1">VLOOKUP($T89,Legend!$A$12:$F$19,5,FALSE)</f>
        <v>Low</v>
      </c>
      <c r="V89" s="11">
        <v>2</v>
      </c>
      <c r="W89" s="10" t="s">
        <v>191</v>
      </c>
      <c r="X89" s="29" t="s">
        <v>192</v>
      </c>
      <c r="Y89" s="11">
        <v>4</v>
      </c>
    </row>
    <row r="90" spans="1:25" x14ac:dyDescent="0.25">
      <c r="A90" s="16" t="s">
        <v>231</v>
      </c>
      <c r="B90" s="2">
        <v>684872</v>
      </c>
      <c r="C90" s="2">
        <v>3897904</v>
      </c>
      <c r="D90" s="16" t="s">
        <v>72</v>
      </c>
      <c r="E90" s="16" t="s">
        <v>72</v>
      </c>
      <c r="F90" s="15">
        <v>1272.9820340000001</v>
      </c>
      <c r="G90" s="15">
        <v>4374.6084270000001</v>
      </c>
      <c r="H90" s="10">
        <v>62.81615</v>
      </c>
      <c r="I90" s="29">
        <v>277.22248999999999</v>
      </c>
      <c r="J90" s="29">
        <v>554.33495300000004</v>
      </c>
      <c r="K90" s="11">
        <v>1272.9820340000001</v>
      </c>
      <c r="L90" t="s">
        <v>20</v>
      </c>
      <c r="M90" s="29" t="s">
        <v>139</v>
      </c>
      <c r="N90" t="s">
        <v>140</v>
      </c>
      <c r="O90" s="11">
        <v>3</v>
      </c>
      <c r="P90" s="10" t="s">
        <v>65</v>
      </c>
      <c r="Q90" s="29" t="s">
        <v>66</v>
      </c>
      <c r="R90" s="29" t="str">
        <f ca="1">VLOOKUP($S90,Legend!$A$12:$F$19,2,FALSE)</f>
        <v>Petric Calcisols</v>
      </c>
      <c r="S90" s="29" t="str">
        <f ca="1">VLOOKUP($S90,Legend!$A$12:$F$19,3,FALSE)</f>
        <v>Calcisol</v>
      </c>
      <c r="T90" s="29" t="str">
        <f ca="1">VLOOKUP($T90,Legend!$A$12:$F$19,4,FALSE)</f>
        <v>Petrocalcic hardpan / restricted rooting</v>
      </c>
      <c r="U90" s="29" t="str">
        <f ca="1">VLOOKUP($T90,Legend!$A$12:$F$19,5,FALSE)</f>
        <v>Low</v>
      </c>
      <c r="V90" s="11">
        <v>2</v>
      </c>
      <c r="W90" s="10" t="s">
        <v>193</v>
      </c>
      <c r="X90" s="29" t="s">
        <v>195</v>
      </c>
      <c r="Y90" s="11">
        <v>3</v>
      </c>
    </row>
    <row r="91" spans="1:25" x14ac:dyDescent="0.25">
      <c r="A91" s="16" t="s">
        <v>311</v>
      </c>
      <c r="B91" s="2">
        <v>685404</v>
      </c>
      <c r="C91" s="2">
        <v>3896754</v>
      </c>
      <c r="D91" s="16" t="s">
        <v>72</v>
      </c>
      <c r="E91" s="16" t="s">
        <v>72</v>
      </c>
      <c r="F91" s="15">
        <v>1402.1414729999999</v>
      </c>
      <c r="G91" s="15">
        <v>3111.4122990000001</v>
      </c>
      <c r="H91" s="10">
        <v>17.328209000000001</v>
      </c>
      <c r="I91" s="29">
        <v>16.300668999999999</v>
      </c>
      <c r="J91" s="29">
        <v>103.341009</v>
      </c>
      <c r="K91" s="11">
        <v>1402.1414729999999</v>
      </c>
      <c r="L91" t="s">
        <v>20</v>
      </c>
      <c r="M91" s="29" t="s">
        <v>139</v>
      </c>
      <c r="N91" t="s">
        <v>140</v>
      </c>
      <c r="O91" s="11">
        <v>3</v>
      </c>
      <c r="P91" s="10" t="s">
        <v>65</v>
      </c>
      <c r="Q91" s="29" t="s">
        <v>66</v>
      </c>
      <c r="R91" s="29" t="str">
        <f ca="1">VLOOKUP($S91,Legend!$A$12:$F$19,2,FALSE)</f>
        <v>Petric Calcisols</v>
      </c>
      <c r="S91" s="29" t="str">
        <f ca="1">VLOOKUP($S91,Legend!$A$12:$F$19,3,FALSE)</f>
        <v>Calcisol</v>
      </c>
      <c r="T91" s="29" t="str">
        <f ca="1">VLOOKUP($T91,Legend!$A$12:$F$19,4,FALSE)</f>
        <v>Petrocalcic hardpan / restricted rooting</v>
      </c>
      <c r="U91" s="29" t="str">
        <f ca="1">VLOOKUP($T91,Legend!$A$12:$F$19,5,FALSE)</f>
        <v>Low</v>
      </c>
      <c r="V91" s="11">
        <v>2</v>
      </c>
      <c r="W91" s="10" t="s">
        <v>191</v>
      </c>
      <c r="X91" s="29" t="s">
        <v>192</v>
      </c>
      <c r="Y91" s="11">
        <v>4</v>
      </c>
    </row>
    <row r="92" spans="1:25" x14ac:dyDescent="0.25">
      <c r="A92" s="16" t="s">
        <v>368</v>
      </c>
      <c r="B92" s="2">
        <v>686676</v>
      </c>
      <c r="C92" s="2">
        <v>3895590</v>
      </c>
      <c r="D92" s="33" t="s">
        <v>369</v>
      </c>
      <c r="E92" s="16" t="s">
        <v>367</v>
      </c>
      <c r="F92" s="15">
        <v>178.908613</v>
      </c>
      <c r="G92" s="15">
        <v>1577.9792809999999</v>
      </c>
      <c r="H92" s="10">
        <v>178.908613</v>
      </c>
      <c r="I92" s="29">
        <v>178.908581</v>
      </c>
      <c r="J92" s="29">
        <v>178.908613</v>
      </c>
      <c r="K92" s="11">
        <v>178.908613</v>
      </c>
      <c r="L92" t="s">
        <v>20</v>
      </c>
      <c r="M92" s="29" t="s">
        <v>139</v>
      </c>
      <c r="N92" t="s">
        <v>140</v>
      </c>
      <c r="O92" s="11">
        <v>3</v>
      </c>
      <c r="P92" s="10" t="s">
        <v>65</v>
      </c>
      <c r="Q92" s="29" t="s">
        <v>66</v>
      </c>
      <c r="R92" s="29" t="str">
        <f ca="1">VLOOKUP($S92,Legend!$A$12:$F$19,2,FALSE)</f>
        <v>Petric Calcisols</v>
      </c>
      <c r="S92" s="29" t="str">
        <f ca="1">VLOOKUP($S92,Legend!$A$12:$F$19,3,FALSE)</f>
        <v>Calcisol</v>
      </c>
      <c r="T92" s="29" t="str">
        <f ca="1">VLOOKUP($T92,Legend!$A$12:$F$19,4,FALSE)</f>
        <v>Petrocalcic hardpan / restricted rooting</v>
      </c>
      <c r="U92" s="29" t="str">
        <f ca="1">VLOOKUP($T92,Legend!$A$12:$F$19,5,FALSE)</f>
        <v>Low</v>
      </c>
      <c r="V92" s="11">
        <v>2</v>
      </c>
      <c r="W92" s="10" t="s">
        <v>191</v>
      </c>
      <c r="X92" s="29" t="s">
        <v>192</v>
      </c>
      <c r="Y92" s="11">
        <v>4</v>
      </c>
    </row>
    <row r="93" spans="1:25" x14ac:dyDescent="0.25">
      <c r="A93" s="16" t="s">
        <v>217</v>
      </c>
      <c r="B93" s="2">
        <v>689900</v>
      </c>
      <c r="C93" s="2">
        <v>3896051</v>
      </c>
      <c r="D93" t="s">
        <v>218</v>
      </c>
      <c r="E93" s="16" t="s">
        <v>72</v>
      </c>
      <c r="F93" s="15">
        <v>665.79767900000002</v>
      </c>
      <c r="G93" s="15">
        <v>290.85629699999998</v>
      </c>
      <c r="H93" s="10">
        <v>413.28851600000002</v>
      </c>
      <c r="I93" s="29">
        <v>665.79771000000005</v>
      </c>
      <c r="J93" s="29">
        <v>665.79767900000002</v>
      </c>
      <c r="K93" s="11">
        <v>665.79767900000002</v>
      </c>
      <c r="L93" t="s">
        <v>20</v>
      </c>
      <c r="M93" s="29" t="s">
        <v>139</v>
      </c>
      <c r="N93" t="s">
        <v>140</v>
      </c>
      <c r="O93" s="11">
        <v>3</v>
      </c>
      <c r="P93" s="10" t="s">
        <v>36</v>
      </c>
      <c r="Q93" s="29" t="s">
        <v>66</v>
      </c>
      <c r="R93" s="29" t="str">
        <f ca="1">VLOOKUP($S93,Legend!$A$12:$F$19,2,FALSE)</f>
        <v>Petric Calcisols</v>
      </c>
      <c r="S93" s="29" t="str">
        <f ca="1">VLOOKUP($S93,Legend!$A$12:$F$19,3,FALSE)</f>
        <v>Calcisol</v>
      </c>
      <c r="T93" s="29" t="str">
        <f ca="1">VLOOKUP($T93,Legend!$A$12:$F$19,4,FALSE)</f>
        <v>Petrocalcic hardpan / restricted rooting</v>
      </c>
      <c r="U93" s="29" t="str">
        <f ca="1">VLOOKUP($T93,Legend!$A$12:$F$19,5,FALSE)</f>
        <v>Low</v>
      </c>
      <c r="V93" s="11">
        <v>2</v>
      </c>
      <c r="W93" s="10" t="s">
        <v>191</v>
      </c>
      <c r="X93" s="29" t="s">
        <v>192</v>
      </c>
      <c r="Y93" s="11">
        <v>4</v>
      </c>
    </row>
  </sheetData>
  <phoneticPr fontId="11" type="noConversion"/>
  <pageMargins left="0.7" right="0.7" top="0.75" bottom="0.75" header="0.3" footer="0.3"/>
  <ignoredErrors>
    <ignoredError sqref="R19:S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3"/>
  <sheetViews>
    <sheetView topLeftCell="O1" workbookViewId="0">
      <selection activeCell="AB13" sqref="AB13"/>
    </sheetView>
  </sheetViews>
  <sheetFormatPr baseColWidth="10" defaultRowHeight="15" x14ac:dyDescent="0.25"/>
  <cols>
    <col min="3" max="3" width="34.140625" customWidth="1"/>
    <col min="4" max="4" width="16.28515625" style="2" customWidth="1"/>
    <col min="5" max="5" width="14.85546875" style="2" customWidth="1"/>
    <col min="9" max="14" width="11.42578125" style="15"/>
    <col min="15" max="15" width="11.42578125" style="10"/>
    <col min="16" max="16" width="16" customWidth="1"/>
    <col min="17" max="17" width="18" customWidth="1"/>
    <col min="18" max="18" width="12" style="11" customWidth="1"/>
    <col min="19" max="19" width="11.42578125" style="10"/>
    <col min="21" max="21" width="20" customWidth="1"/>
    <col min="22" max="22" width="14" customWidth="1"/>
    <col min="23" max="23" width="26" customWidth="1"/>
    <col min="24" max="24" width="16" customWidth="1"/>
    <col min="25" max="25" width="12" style="11" customWidth="1"/>
    <col min="26" max="26" width="29.42578125" style="10" customWidth="1"/>
    <col min="28" max="28" width="21" style="11" customWidth="1"/>
  </cols>
  <sheetData>
    <row r="1" spans="1:29" s="5" customFormat="1" ht="30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7" t="s">
        <v>16</v>
      </c>
      <c r="P1" s="8" t="s">
        <v>176</v>
      </c>
      <c r="Q1" s="8" t="s">
        <v>177</v>
      </c>
      <c r="R1" s="9" t="s">
        <v>178</v>
      </c>
      <c r="S1" s="7" t="s">
        <v>14</v>
      </c>
      <c r="T1" s="12" t="s">
        <v>15</v>
      </c>
      <c r="U1" s="8" t="s">
        <v>171</v>
      </c>
      <c r="V1" s="8" t="s">
        <v>172</v>
      </c>
      <c r="W1" s="8" t="s">
        <v>173</v>
      </c>
      <c r="X1" s="8" t="s">
        <v>174</v>
      </c>
      <c r="Y1" s="9" t="s">
        <v>175</v>
      </c>
      <c r="Z1" s="21" t="s">
        <v>189</v>
      </c>
      <c r="AA1" s="22" t="s">
        <v>190</v>
      </c>
      <c r="AB1" s="23" t="s">
        <v>196</v>
      </c>
      <c r="AC1" s="5" t="s">
        <v>375</v>
      </c>
    </row>
    <row r="2" spans="1:29" x14ac:dyDescent="0.25">
      <c r="A2">
        <v>0</v>
      </c>
      <c r="B2">
        <v>43.012999999999998</v>
      </c>
      <c r="C2" t="s">
        <v>17</v>
      </c>
      <c r="D2" s="2">
        <v>632521.64798999997</v>
      </c>
      <c r="E2" s="2">
        <v>4012584.69588</v>
      </c>
      <c r="F2">
        <v>12.669</v>
      </c>
      <c r="G2" t="s">
        <v>18</v>
      </c>
      <c r="H2" t="s">
        <v>19</v>
      </c>
      <c r="I2" s="15">
        <v>2141.0475259999998</v>
      </c>
      <c r="J2" s="15">
        <v>268.43101999999999</v>
      </c>
      <c r="K2" s="15">
        <v>67.590148999999997</v>
      </c>
      <c r="L2" s="15">
        <v>67.590100000000007</v>
      </c>
      <c r="M2" s="15">
        <v>67.590148999999997</v>
      </c>
      <c r="N2" s="15">
        <v>67.590148999999997</v>
      </c>
      <c r="O2" s="10" t="s">
        <v>20</v>
      </c>
      <c r="P2" t="str">
        <f>VLOOKUP($O2,Legend!$H$12:$K$15,2,FALSE)</f>
        <v>Plain</v>
      </c>
      <c r="Q2" t="str">
        <f>VLOOKUP($O2,Legend!$H$12:$K$15,3,FALSE)</f>
        <v>Moderate-high</v>
      </c>
      <c r="R2" s="11">
        <f>VLOOKUP($O2,Legend!$H$12:$K$15,4,FALSE)</f>
        <v>3</v>
      </c>
      <c r="S2" s="10" t="s">
        <v>21</v>
      </c>
      <c r="T2" t="s">
        <v>22</v>
      </c>
      <c r="U2" t="str">
        <f>VLOOKUP($T2,Legend!$A$12:$F$19,2,FALSE)</f>
        <v>Sodic Solonchaks</v>
      </c>
      <c r="V2" t="str">
        <f>VLOOKUP($T2,Legend!$A$12:$F$19,3,FALSE)</f>
        <v>Solonchak</v>
      </c>
      <c r="W2" t="str">
        <f>VLOOKUP($T2,Legend!$A$12:$F$19,4,FALSE)</f>
        <v>Salinity and sodicity</v>
      </c>
      <c r="X2" t="str">
        <f>VLOOKUP($T2,Legend!$A$12:$F$19,5,FALSE)</f>
        <v>Very low</v>
      </c>
      <c r="Y2" s="11">
        <f>VLOOKUP($T2,Legend!$A$12:$F$19,6,FALSE)</f>
        <v>1</v>
      </c>
      <c r="Z2" s="10" t="s">
        <v>191</v>
      </c>
      <c r="AA2" t="s">
        <v>192</v>
      </c>
      <c r="AB2" s="11">
        <v>4</v>
      </c>
      <c r="AC2" t="s">
        <v>23</v>
      </c>
    </row>
    <row r="3" spans="1:29" x14ac:dyDescent="0.25">
      <c r="A3">
        <v>1</v>
      </c>
      <c r="B3">
        <v>43.029000000000003</v>
      </c>
      <c r="C3" t="s">
        <v>24</v>
      </c>
      <c r="D3" s="2">
        <v>626552</v>
      </c>
      <c r="E3" s="2">
        <v>4008251</v>
      </c>
      <c r="F3">
        <v>8.5</v>
      </c>
      <c r="G3" t="s">
        <v>18</v>
      </c>
      <c r="H3" t="s">
        <v>19</v>
      </c>
      <c r="I3" s="15">
        <v>45.173473999999999</v>
      </c>
      <c r="J3" s="15">
        <v>1111.007758</v>
      </c>
      <c r="K3" s="15">
        <v>82.902254999999997</v>
      </c>
      <c r="L3" s="15">
        <v>82.902299999999997</v>
      </c>
      <c r="M3" s="15">
        <v>82.902254999999997</v>
      </c>
      <c r="N3" s="15">
        <v>222.71786900000001</v>
      </c>
      <c r="O3" s="10" t="s">
        <v>27</v>
      </c>
      <c r="P3" t="str">
        <f>VLOOKUP($O3,Legend!$H$12:$K$15,2,FALSE)</f>
        <v>Valley floor</v>
      </c>
      <c r="Q3" t="str">
        <f>VLOOKUP($O3,Legend!$H$12:$K$15,3,FALSE)</f>
        <v>High</v>
      </c>
      <c r="R3" s="11">
        <f>VLOOKUP($O3,Legend!$H$12:$K$15,4,FALSE)</f>
        <v>4</v>
      </c>
      <c r="S3" s="10" t="s">
        <v>25</v>
      </c>
      <c r="T3" t="s">
        <v>26</v>
      </c>
      <c r="U3" t="str">
        <f>VLOOKUP($T3,Legend!$A$12:$F$19,2,FALSE)</f>
        <v>Eutric Gleysols</v>
      </c>
      <c r="V3" t="str">
        <f>VLOOKUP($T3,Legend!$A$12:$F$19,3,FALSE)</f>
        <v>Gleysol</v>
      </c>
      <c r="W3" t="str">
        <f>VLOOKUP($T3,Legend!$A$12:$F$19,4,FALSE)</f>
        <v>Poor drainage / waterlogging</v>
      </c>
      <c r="X3" t="str">
        <f>VLOOKUP($T3,Legend!$A$12:$F$19,5,FALSE)</f>
        <v>Low</v>
      </c>
      <c r="Y3" s="11">
        <f>VLOOKUP($T3,Legend!$A$12:$F$19,6,FALSE)</f>
        <v>2</v>
      </c>
      <c r="Z3" s="10" t="s">
        <v>191</v>
      </c>
      <c r="AA3" t="s">
        <v>192</v>
      </c>
      <c r="AB3" s="11">
        <v>4</v>
      </c>
      <c r="AC3" t="s">
        <v>28</v>
      </c>
    </row>
    <row r="4" spans="1:29" x14ac:dyDescent="0.25">
      <c r="A4">
        <v>2</v>
      </c>
      <c r="B4">
        <v>43.033999999999999</v>
      </c>
      <c r="C4" t="s">
        <v>29</v>
      </c>
      <c r="D4" s="2">
        <v>627840.32418</v>
      </c>
      <c r="E4" s="2">
        <v>4008905.7768100002</v>
      </c>
      <c r="F4">
        <v>10.026</v>
      </c>
      <c r="G4" t="s">
        <v>18</v>
      </c>
      <c r="H4" t="s">
        <v>19</v>
      </c>
      <c r="I4" s="15">
        <v>472.52098899999999</v>
      </c>
      <c r="J4" s="15">
        <v>218.56968699999999</v>
      </c>
      <c r="K4" s="15">
        <v>222.69761600000001</v>
      </c>
      <c r="L4" s="15">
        <v>222.69757100000001</v>
      </c>
      <c r="M4" s="15">
        <v>222.69761600000001</v>
      </c>
      <c r="N4" s="15">
        <v>229.34164200000001</v>
      </c>
      <c r="O4" s="10" t="s">
        <v>27</v>
      </c>
      <c r="P4" t="str">
        <f>VLOOKUP($O4,Legend!$H$12:$K$15,2,FALSE)</f>
        <v>Valley floor</v>
      </c>
      <c r="Q4" t="str">
        <f>VLOOKUP($O4,Legend!$H$12:$K$15,3,FALSE)</f>
        <v>High</v>
      </c>
      <c r="R4" s="11">
        <f>VLOOKUP($O4,Legend!$H$12:$K$15,4,FALSE)</f>
        <v>4</v>
      </c>
      <c r="S4" s="10" t="s">
        <v>25</v>
      </c>
      <c r="T4" t="s">
        <v>26</v>
      </c>
      <c r="U4" t="str">
        <f>VLOOKUP($T4,Legend!$A$12:$F$19,2,FALSE)</f>
        <v>Eutric Gleysols</v>
      </c>
      <c r="V4" t="str">
        <f>VLOOKUP($T4,Legend!$A$12:$F$19,3,FALSE)</f>
        <v>Gleysol</v>
      </c>
      <c r="W4" t="str">
        <f>VLOOKUP($T4,Legend!$A$12:$F$19,4,FALSE)</f>
        <v>Poor drainage / waterlogging</v>
      </c>
      <c r="X4" t="str">
        <f>VLOOKUP($T4,Legend!$A$12:$F$19,5,FALSE)</f>
        <v>Low</v>
      </c>
      <c r="Y4" s="11">
        <f>VLOOKUP($T4,Legend!$A$12:$F$19,6,FALSE)</f>
        <v>2</v>
      </c>
      <c r="Z4" s="10" t="s">
        <v>191</v>
      </c>
      <c r="AA4" t="s">
        <v>192</v>
      </c>
      <c r="AB4" s="11">
        <v>4</v>
      </c>
      <c r="AC4" t="s">
        <v>30</v>
      </c>
    </row>
    <row r="5" spans="1:29" x14ac:dyDescent="0.25">
      <c r="A5">
        <v>3</v>
      </c>
      <c r="B5">
        <v>43.037999999999997</v>
      </c>
      <c r="C5" t="s">
        <v>31</v>
      </c>
      <c r="D5" s="2">
        <v>629196.32799999998</v>
      </c>
      <c r="E5" s="2">
        <v>4005951.05595</v>
      </c>
      <c r="F5">
        <v>3.4940000000000002</v>
      </c>
      <c r="G5" t="s">
        <v>18</v>
      </c>
      <c r="H5" t="s">
        <v>19</v>
      </c>
      <c r="I5" s="15">
        <v>506.85422</v>
      </c>
      <c r="J5" s="15">
        <v>1330.2847180000001</v>
      </c>
      <c r="K5" s="15">
        <v>598.34596499999998</v>
      </c>
      <c r="L5" s="15">
        <v>598.34596399999998</v>
      </c>
      <c r="M5" s="15">
        <v>598.34596499999998</v>
      </c>
      <c r="N5" s="15">
        <v>598.34596499999998</v>
      </c>
      <c r="O5" s="10" t="s">
        <v>27</v>
      </c>
      <c r="P5" t="str">
        <f>VLOOKUP($O5,Legend!$H$12:$K$15,2,FALSE)</f>
        <v>Valley floor</v>
      </c>
      <c r="Q5" t="str">
        <f>VLOOKUP($O5,Legend!$H$12:$K$15,3,FALSE)</f>
        <v>High</v>
      </c>
      <c r="R5" s="11">
        <f>VLOOKUP($O5,Legend!$H$12:$K$15,4,FALSE)</f>
        <v>4</v>
      </c>
      <c r="S5" s="10" t="s">
        <v>25</v>
      </c>
      <c r="T5" t="s">
        <v>26</v>
      </c>
      <c r="U5" t="str">
        <f>VLOOKUP($T5,Legend!$A$12:$F$19,2,FALSE)</f>
        <v>Eutric Gleysols</v>
      </c>
      <c r="V5" t="str">
        <f>VLOOKUP($T5,Legend!$A$12:$F$19,3,FALSE)</f>
        <v>Gleysol</v>
      </c>
      <c r="W5" t="str">
        <f>VLOOKUP($T5,Legend!$A$12:$F$19,4,FALSE)</f>
        <v>Poor drainage / waterlogging</v>
      </c>
      <c r="X5" t="str">
        <f>VLOOKUP($T5,Legend!$A$12:$F$19,5,FALSE)</f>
        <v>Low</v>
      </c>
      <c r="Y5" s="11">
        <f>VLOOKUP($T5,Legend!$A$12:$F$19,6,FALSE)</f>
        <v>2</v>
      </c>
      <c r="Z5" s="10" t="s">
        <v>191</v>
      </c>
      <c r="AA5" t="s">
        <v>192</v>
      </c>
      <c r="AB5" s="11">
        <v>4</v>
      </c>
      <c r="AC5" t="s">
        <v>32</v>
      </c>
    </row>
    <row r="6" spans="1:29" x14ac:dyDescent="0.25">
      <c r="A6">
        <v>4</v>
      </c>
      <c r="B6">
        <v>43.137</v>
      </c>
      <c r="C6" t="s">
        <v>33</v>
      </c>
      <c r="D6" s="2">
        <v>621613.67464999994</v>
      </c>
      <c r="E6" s="2">
        <v>3995907.9688499998</v>
      </c>
      <c r="F6">
        <v>5.9450000000000003</v>
      </c>
      <c r="G6" t="s">
        <v>18</v>
      </c>
      <c r="H6" t="s">
        <v>19</v>
      </c>
      <c r="I6" s="15">
        <v>208.062636</v>
      </c>
      <c r="J6" s="15">
        <v>762.96752800000002</v>
      </c>
      <c r="K6" s="15">
        <v>98.567488999999995</v>
      </c>
      <c r="L6" s="15">
        <v>98.567499999999995</v>
      </c>
      <c r="M6" s="15">
        <v>98.567488999999995</v>
      </c>
      <c r="N6" s="15">
        <v>98.567488999999995</v>
      </c>
      <c r="O6" s="10" t="s">
        <v>20</v>
      </c>
      <c r="P6" t="str">
        <f>VLOOKUP($O6,Legend!$H$12:$K$15,2,FALSE)</f>
        <v>Plain</v>
      </c>
      <c r="Q6" t="str">
        <f>VLOOKUP($O6,Legend!$H$12:$K$15,3,FALSE)</f>
        <v>Moderate-high</v>
      </c>
      <c r="R6" s="11">
        <f>VLOOKUP($O6,Legend!$H$12:$K$15,4,FALSE)</f>
        <v>3</v>
      </c>
      <c r="S6" s="10" t="s">
        <v>21</v>
      </c>
      <c r="T6" t="s">
        <v>26</v>
      </c>
      <c r="U6" t="str">
        <f>VLOOKUP($T6,Legend!$A$12:$F$19,2,FALSE)</f>
        <v>Eutric Gleysols</v>
      </c>
      <c r="V6" t="str">
        <f>VLOOKUP($T6,Legend!$A$12:$F$19,3,FALSE)</f>
        <v>Gleysol</v>
      </c>
      <c r="W6" t="str">
        <f>VLOOKUP($T6,Legend!$A$12:$F$19,4,FALSE)</f>
        <v>Poor drainage / waterlogging</v>
      </c>
      <c r="X6" t="str">
        <f>VLOOKUP($T6,Legend!$A$12:$F$19,5,FALSE)</f>
        <v>Low</v>
      </c>
      <c r="Y6" s="11">
        <f>VLOOKUP($T6,Legend!$A$12:$F$19,6,FALSE)</f>
        <v>2</v>
      </c>
      <c r="Z6" s="10" t="s">
        <v>191</v>
      </c>
      <c r="AA6" t="s">
        <v>192</v>
      </c>
      <c r="AB6" s="11">
        <v>4</v>
      </c>
      <c r="AC6" t="s">
        <v>34</v>
      </c>
    </row>
    <row r="7" spans="1:29" x14ac:dyDescent="0.25">
      <c r="A7">
        <v>5</v>
      </c>
      <c r="B7">
        <v>43.179000000000002</v>
      </c>
      <c r="C7" t="s">
        <v>35</v>
      </c>
      <c r="D7" s="2">
        <v>608393.04449</v>
      </c>
      <c r="E7" s="2">
        <v>3999383.2960600001</v>
      </c>
      <c r="F7">
        <v>5.5780000000000003</v>
      </c>
      <c r="G7" t="s">
        <v>18</v>
      </c>
      <c r="H7" t="s">
        <v>19</v>
      </c>
      <c r="I7" s="15">
        <v>331.39017899999999</v>
      </c>
      <c r="J7" s="15">
        <v>385.14147500000001</v>
      </c>
      <c r="K7" s="15">
        <v>166.673373</v>
      </c>
      <c r="L7" s="15">
        <v>166.67339999999999</v>
      </c>
      <c r="M7" s="15">
        <v>166.673373</v>
      </c>
      <c r="N7" s="15">
        <v>166.673373</v>
      </c>
      <c r="O7" s="10" t="s">
        <v>20</v>
      </c>
      <c r="P7" t="str">
        <f>VLOOKUP($O7,Legend!$H$12:$K$15,2,FALSE)</f>
        <v>Plain</v>
      </c>
      <c r="Q7" t="str">
        <f>VLOOKUP($O7,Legend!$H$12:$K$15,3,FALSE)</f>
        <v>Moderate-high</v>
      </c>
      <c r="R7" s="11">
        <f>VLOOKUP($O7,Legend!$H$12:$K$15,4,FALSE)</f>
        <v>3</v>
      </c>
      <c r="S7" s="10" t="s">
        <v>36</v>
      </c>
      <c r="T7" t="s">
        <v>37</v>
      </c>
      <c r="U7" t="str">
        <f>VLOOKUP($T7,Legend!$A$12:$F$19,2,FALSE)</f>
        <v>Haplic Calcisols</v>
      </c>
      <c r="V7" t="str">
        <f>VLOOKUP($T7,Legend!$A$12:$F$19,3,FALSE)</f>
        <v>Calcisol</v>
      </c>
      <c r="W7" t="str">
        <f>VLOOKUP($T7,Legend!$A$12:$F$19,4,FALSE)</f>
        <v>Calcareous soil</v>
      </c>
      <c r="X7" t="str">
        <f>VLOOKUP($T7,Legend!$A$12:$F$19,5,FALSE)</f>
        <v>Moderate</v>
      </c>
      <c r="Y7" s="11">
        <f>VLOOKUP($T7,Legend!$A$12:$F$19,6,FALSE)</f>
        <v>3</v>
      </c>
      <c r="Z7" s="10" t="s">
        <v>193</v>
      </c>
      <c r="AA7" t="s">
        <v>194</v>
      </c>
      <c r="AB7" s="11">
        <v>1</v>
      </c>
      <c r="AC7" t="s">
        <v>38</v>
      </c>
    </row>
    <row r="8" spans="1:29" x14ac:dyDescent="0.25">
      <c r="A8">
        <v>6</v>
      </c>
      <c r="B8">
        <v>43.180999999999997</v>
      </c>
      <c r="C8" t="s">
        <v>39</v>
      </c>
      <c r="D8" s="2">
        <v>617999.58992000006</v>
      </c>
      <c r="E8" s="2">
        <v>3999077.5553299999</v>
      </c>
      <c r="F8">
        <v>3.9769999999999999</v>
      </c>
      <c r="G8" t="s">
        <v>18</v>
      </c>
      <c r="H8" t="s">
        <v>19</v>
      </c>
      <c r="I8" s="15">
        <v>658.35522400000002</v>
      </c>
      <c r="J8" s="15">
        <v>32.903106000000001</v>
      </c>
      <c r="K8" s="15">
        <v>440.06721099999999</v>
      </c>
      <c r="L8" s="15">
        <v>440.06721499999998</v>
      </c>
      <c r="M8" s="15">
        <v>440.06721099999999</v>
      </c>
      <c r="N8" s="15">
        <v>440.06721099999999</v>
      </c>
      <c r="O8" s="10" t="s">
        <v>41</v>
      </c>
      <c r="P8" t="str">
        <f>VLOOKUP($O8,Legend!$H$12:$K$15,2,FALSE)</f>
        <v>Medium hill</v>
      </c>
      <c r="Q8" t="str">
        <f>VLOOKUP($O8,Legend!$H$12:$K$15,3,FALSE)</f>
        <v>Low</v>
      </c>
      <c r="R8" s="11">
        <f>VLOOKUP($O8,Legend!$H$12:$K$15,4,FALSE)</f>
        <v>1</v>
      </c>
      <c r="S8" s="10" t="s">
        <v>36</v>
      </c>
      <c r="T8" t="s">
        <v>40</v>
      </c>
      <c r="U8" t="str">
        <f>VLOOKUP($T8,Legend!$A$12:$F$19,2,FALSE)</f>
        <v>Calcaric Cambisols</v>
      </c>
      <c r="V8" t="str">
        <f>VLOOKUP($T8,Legend!$A$12:$F$19,3,FALSE)</f>
        <v>Cambisol</v>
      </c>
      <c r="W8" t="str">
        <f>VLOOKUP($T8,Legend!$A$12:$F$19,4,FALSE)</f>
        <v>Moderately developed calcareous soil</v>
      </c>
      <c r="X8" t="str">
        <f>VLOOKUP($T8,Legend!$A$12:$F$19,5,FALSE)</f>
        <v>Moderate</v>
      </c>
      <c r="Y8" s="11">
        <f>VLOOKUP($T8,Legend!$A$12:$F$19,6,FALSE)</f>
        <v>3</v>
      </c>
      <c r="Z8" s="10" t="s">
        <v>193</v>
      </c>
      <c r="AA8" t="s">
        <v>194</v>
      </c>
      <c r="AB8" s="11">
        <v>1</v>
      </c>
      <c r="AC8" t="s">
        <v>42</v>
      </c>
    </row>
    <row r="9" spans="1:29" x14ac:dyDescent="0.25">
      <c r="A9">
        <v>7</v>
      </c>
      <c r="B9">
        <v>43.131</v>
      </c>
      <c r="C9" t="s">
        <v>43</v>
      </c>
      <c r="D9" s="2">
        <v>623232.99864000001</v>
      </c>
      <c r="E9" s="2">
        <v>4001280.2048300002</v>
      </c>
      <c r="F9">
        <v>1.1779999999999999</v>
      </c>
      <c r="G9" t="s">
        <v>44</v>
      </c>
      <c r="H9" t="s">
        <v>45</v>
      </c>
      <c r="I9" s="15">
        <v>832.29027499999995</v>
      </c>
      <c r="J9" s="15">
        <v>1412.1245220000001</v>
      </c>
      <c r="K9" s="15">
        <v>520.23966600000006</v>
      </c>
      <c r="L9" s="15">
        <v>596.86148900000001</v>
      </c>
      <c r="M9" s="15">
        <v>584.07584999999995</v>
      </c>
      <c r="N9" s="15">
        <v>949.33752800000002</v>
      </c>
      <c r="O9" s="10" t="s">
        <v>20</v>
      </c>
      <c r="P9" t="str">
        <f>VLOOKUP($O9,Legend!$H$12:$K$15,2,FALSE)</f>
        <v>Plain</v>
      </c>
      <c r="Q9" t="str">
        <f>VLOOKUP($O9,Legend!$H$12:$K$15,3,FALSE)</f>
        <v>Moderate-high</v>
      </c>
      <c r="R9" s="11">
        <f>VLOOKUP($O9,Legend!$H$12:$K$15,4,FALSE)</f>
        <v>3</v>
      </c>
      <c r="S9" s="10" t="s">
        <v>36</v>
      </c>
      <c r="T9" t="s">
        <v>40</v>
      </c>
      <c r="U9" t="str">
        <f>VLOOKUP($T9,Legend!$A$12:$F$19,2,FALSE)</f>
        <v>Calcaric Cambisols</v>
      </c>
      <c r="V9" t="str">
        <f>VLOOKUP($T9,Legend!$A$12:$F$19,3,FALSE)</f>
        <v>Cambisol</v>
      </c>
      <c r="W9" t="str">
        <f>VLOOKUP($T9,Legend!$A$12:$F$19,4,FALSE)</f>
        <v>Moderately developed calcareous soil</v>
      </c>
      <c r="X9" t="str">
        <f>VLOOKUP($T9,Legend!$A$12:$F$19,5,FALSE)</f>
        <v>Moderate</v>
      </c>
      <c r="Y9" s="11">
        <f>VLOOKUP($T9,Legend!$A$12:$F$19,6,FALSE)</f>
        <v>3</v>
      </c>
      <c r="Z9" s="10" t="s">
        <v>193</v>
      </c>
      <c r="AA9" t="s">
        <v>194</v>
      </c>
      <c r="AB9" s="11">
        <v>1</v>
      </c>
      <c r="AC9" t="s">
        <v>46</v>
      </c>
    </row>
    <row r="10" spans="1:29" x14ac:dyDescent="0.25">
      <c r="A10">
        <v>8</v>
      </c>
      <c r="B10">
        <v>43.021999999999998</v>
      </c>
      <c r="C10" t="s">
        <v>47</v>
      </c>
      <c r="D10" s="2">
        <v>624771.25892000005</v>
      </c>
      <c r="E10" s="2">
        <v>4009188.7181000002</v>
      </c>
      <c r="F10">
        <v>2.93</v>
      </c>
      <c r="G10" t="s">
        <v>44</v>
      </c>
      <c r="H10" t="s">
        <v>45</v>
      </c>
      <c r="I10" s="15">
        <v>546.26184699999999</v>
      </c>
      <c r="J10" s="15">
        <v>3121.0666190000002</v>
      </c>
      <c r="K10" s="15">
        <v>72.173978000000005</v>
      </c>
      <c r="L10" s="15">
        <v>72.173957999999999</v>
      </c>
      <c r="M10" s="15">
        <v>72.173978000000005</v>
      </c>
      <c r="N10" s="15">
        <v>72.173978000000005</v>
      </c>
      <c r="O10" s="10" t="s">
        <v>41</v>
      </c>
      <c r="P10" t="str">
        <f>VLOOKUP($O10,Legend!$H$12:$K$15,2,FALSE)</f>
        <v>Medium hill</v>
      </c>
      <c r="Q10" t="str">
        <f>VLOOKUP($O10,Legend!$H$12:$K$15,3,FALSE)</f>
        <v>Low</v>
      </c>
      <c r="R10" s="11">
        <f>VLOOKUP($O10,Legend!$H$12:$K$15,4,FALSE)</f>
        <v>1</v>
      </c>
      <c r="S10" s="10" t="s">
        <v>36</v>
      </c>
      <c r="T10" t="s">
        <v>40</v>
      </c>
      <c r="U10" t="str">
        <f>VLOOKUP($T10,Legend!$A$12:$F$19,2,FALSE)</f>
        <v>Calcaric Cambisols</v>
      </c>
      <c r="V10" t="str">
        <f>VLOOKUP($T10,Legend!$A$12:$F$19,3,FALSE)</f>
        <v>Cambisol</v>
      </c>
      <c r="W10" t="str">
        <f>VLOOKUP($T10,Legend!$A$12:$F$19,4,FALSE)</f>
        <v>Moderately developed calcareous soil</v>
      </c>
      <c r="X10" t="str">
        <f>VLOOKUP($T10,Legend!$A$12:$F$19,5,FALSE)</f>
        <v>Moderate</v>
      </c>
      <c r="Y10" s="11">
        <f>VLOOKUP($T10,Legend!$A$12:$F$19,6,FALSE)</f>
        <v>3</v>
      </c>
      <c r="Z10" s="10" t="s">
        <v>193</v>
      </c>
      <c r="AA10" t="s">
        <v>194</v>
      </c>
      <c r="AB10" s="11">
        <v>1</v>
      </c>
      <c r="AC10" t="s">
        <v>48</v>
      </c>
    </row>
    <row r="11" spans="1:29" x14ac:dyDescent="0.25">
      <c r="A11">
        <v>9</v>
      </c>
      <c r="B11">
        <v>43.024000000000001</v>
      </c>
      <c r="C11" t="s">
        <v>49</v>
      </c>
      <c r="D11" s="2">
        <v>625381.92148000002</v>
      </c>
      <c r="E11" s="2">
        <v>4009781.8848299999</v>
      </c>
      <c r="F11">
        <v>1.2430000000000001</v>
      </c>
      <c r="G11" t="s">
        <v>44</v>
      </c>
      <c r="H11" t="s">
        <v>45</v>
      </c>
      <c r="I11" s="15">
        <v>1137.002469</v>
      </c>
      <c r="J11" s="15">
        <v>2788.6076990000001</v>
      </c>
      <c r="K11" s="15">
        <v>239.455422</v>
      </c>
      <c r="L11" s="15">
        <v>288.29567700000001</v>
      </c>
      <c r="M11" s="15">
        <v>278.51614499999999</v>
      </c>
      <c r="N11" s="15">
        <v>651.98597600000005</v>
      </c>
      <c r="O11" s="10" t="s">
        <v>41</v>
      </c>
      <c r="P11" t="str">
        <f>VLOOKUP($O11,Legend!$H$12:$K$15,2,FALSE)</f>
        <v>Medium hill</v>
      </c>
      <c r="Q11" t="str">
        <f>VLOOKUP($O11,Legend!$H$12:$K$15,3,FALSE)</f>
        <v>Low</v>
      </c>
      <c r="R11" s="11">
        <f>VLOOKUP($O11,Legend!$H$12:$K$15,4,FALSE)</f>
        <v>1</v>
      </c>
      <c r="S11" s="10" t="s">
        <v>36</v>
      </c>
      <c r="T11" t="s">
        <v>40</v>
      </c>
      <c r="U11" t="str">
        <f>VLOOKUP($T11,Legend!$A$12:$F$19,2,FALSE)</f>
        <v>Calcaric Cambisols</v>
      </c>
      <c r="V11" t="str">
        <f>VLOOKUP($T11,Legend!$A$12:$F$19,3,FALSE)</f>
        <v>Cambisol</v>
      </c>
      <c r="W11" t="str">
        <f>VLOOKUP($T11,Legend!$A$12:$F$19,4,FALSE)</f>
        <v>Moderately developed calcareous soil</v>
      </c>
      <c r="X11" t="str">
        <f>VLOOKUP($T11,Legend!$A$12:$F$19,5,FALSE)</f>
        <v>Moderate</v>
      </c>
      <c r="Y11" s="11">
        <f>VLOOKUP($T11,Legend!$A$12:$F$19,6,FALSE)</f>
        <v>3</v>
      </c>
      <c r="Z11" s="10" t="s">
        <v>193</v>
      </c>
      <c r="AA11" t="s">
        <v>194</v>
      </c>
      <c r="AB11" s="11">
        <v>1</v>
      </c>
      <c r="AC11" t="s">
        <v>50</v>
      </c>
    </row>
    <row r="12" spans="1:29" x14ac:dyDescent="0.25">
      <c r="A12">
        <v>10</v>
      </c>
      <c r="B12">
        <v>43.034999999999997</v>
      </c>
      <c r="C12" t="s">
        <v>51</v>
      </c>
      <c r="D12" s="2">
        <v>628728.97384999995</v>
      </c>
      <c r="E12" s="2">
        <v>4009396.5302599999</v>
      </c>
      <c r="F12">
        <v>1.2629999999999999</v>
      </c>
      <c r="G12" t="s">
        <v>44</v>
      </c>
      <c r="H12" t="s">
        <v>45</v>
      </c>
      <c r="I12" s="15">
        <v>234.26089099999999</v>
      </c>
      <c r="J12" s="15">
        <v>577.76146100000005</v>
      </c>
      <c r="K12" s="15">
        <v>252.211511</v>
      </c>
      <c r="L12" s="15">
        <v>252.211547</v>
      </c>
      <c r="M12" s="15">
        <v>412.82761699999998</v>
      </c>
      <c r="N12" s="15">
        <v>494.65096599999998</v>
      </c>
      <c r="O12" s="10" t="s">
        <v>27</v>
      </c>
      <c r="P12" t="str">
        <f>VLOOKUP($O12,Legend!$H$12:$K$15,2,FALSE)</f>
        <v>Valley floor</v>
      </c>
      <c r="Q12" t="str">
        <f>VLOOKUP($O12,Legend!$H$12:$K$15,3,FALSE)</f>
        <v>High</v>
      </c>
      <c r="R12" s="11">
        <f>VLOOKUP($O12,Legend!$H$12:$K$15,4,FALSE)</f>
        <v>4</v>
      </c>
      <c r="S12" s="10" t="s">
        <v>25</v>
      </c>
      <c r="T12" t="s">
        <v>26</v>
      </c>
      <c r="U12" t="str">
        <f>VLOOKUP($T12,Legend!$A$12:$F$19,2,FALSE)</f>
        <v>Eutric Gleysols</v>
      </c>
      <c r="V12" t="str">
        <f>VLOOKUP($T12,Legend!$A$12:$F$19,3,FALSE)</f>
        <v>Gleysol</v>
      </c>
      <c r="W12" t="str">
        <f>VLOOKUP($T12,Legend!$A$12:$F$19,4,FALSE)</f>
        <v>Poor drainage / waterlogging</v>
      </c>
      <c r="X12" t="str">
        <f>VLOOKUP($T12,Legend!$A$12:$F$19,5,FALSE)</f>
        <v>Low</v>
      </c>
      <c r="Y12" s="11">
        <f>VLOOKUP($T12,Legend!$A$12:$F$19,6,FALSE)</f>
        <v>2</v>
      </c>
      <c r="Z12" s="10" t="s">
        <v>191</v>
      </c>
      <c r="AA12" t="s">
        <v>192</v>
      </c>
      <c r="AB12" s="11">
        <v>4</v>
      </c>
      <c r="AC12" t="s">
        <v>52</v>
      </c>
    </row>
    <row r="13" spans="1:29" x14ac:dyDescent="0.25">
      <c r="A13">
        <v>11</v>
      </c>
      <c r="B13">
        <v>43.09</v>
      </c>
      <c r="C13" t="s">
        <v>53</v>
      </c>
      <c r="D13" s="2">
        <v>609707.75486999995</v>
      </c>
      <c r="E13" s="2">
        <v>4006750.6189899999</v>
      </c>
      <c r="F13">
        <v>2.6</v>
      </c>
      <c r="G13" t="s">
        <v>44</v>
      </c>
      <c r="H13" t="s">
        <v>45</v>
      </c>
      <c r="I13" s="15">
        <v>938.60931000000005</v>
      </c>
      <c r="J13" s="15">
        <v>5287.6148709999998</v>
      </c>
      <c r="K13" s="15">
        <v>67.957437999999996</v>
      </c>
      <c r="L13" s="15">
        <v>200.24879999999999</v>
      </c>
      <c r="M13" s="15">
        <v>357.069301</v>
      </c>
      <c r="N13" s="15">
        <v>357.069301</v>
      </c>
      <c r="O13" s="10" t="s">
        <v>41</v>
      </c>
      <c r="P13" t="str">
        <f>VLOOKUP($O13,Legend!$H$12:$K$15,2,FALSE)</f>
        <v>Medium hill</v>
      </c>
      <c r="Q13" t="str">
        <f>VLOOKUP($O13,Legend!$H$12:$K$15,3,FALSE)</f>
        <v>Low</v>
      </c>
      <c r="R13" s="11">
        <f>VLOOKUP($O13,Legend!$H$12:$K$15,4,FALSE)</f>
        <v>1</v>
      </c>
      <c r="S13" s="10" t="s">
        <v>36</v>
      </c>
      <c r="T13" t="s">
        <v>40</v>
      </c>
      <c r="U13" t="str">
        <f>VLOOKUP($T13,Legend!$A$12:$F$19,2,FALSE)</f>
        <v>Calcaric Cambisols</v>
      </c>
      <c r="V13" t="str">
        <f>VLOOKUP($T13,Legend!$A$12:$F$19,3,FALSE)</f>
        <v>Cambisol</v>
      </c>
      <c r="W13" t="str">
        <f>VLOOKUP($T13,Legend!$A$12:$F$19,4,FALSE)</f>
        <v>Moderately developed calcareous soil</v>
      </c>
      <c r="X13" t="str">
        <f>VLOOKUP($T13,Legend!$A$12:$F$19,5,FALSE)</f>
        <v>Moderate</v>
      </c>
      <c r="Y13" s="11">
        <f>VLOOKUP($T13,Legend!$A$12:$F$19,6,FALSE)</f>
        <v>3</v>
      </c>
      <c r="Z13" s="10" t="s">
        <v>193</v>
      </c>
      <c r="AA13" t="s">
        <v>195</v>
      </c>
      <c r="AB13" s="11">
        <v>3</v>
      </c>
      <c r="AC13" t="s">
        <v>54</v>
      </c>
    </row>
    <row r="14" spans="1:29" x14ac:dyDescent="0.25">
      <c r="A14">
        <v>12</v>
      </c>
      <c r="B14">
        <v>43.158999999999999</v>
      </c>
      <c r="C14" t="s">
        <v>55</v>
      </c>
      <c r="D14" s="2">
        <v>617660.65133000002</v>
      </c>
      <c r="E14" s="2">
        <v>4005369.34889</v>
      </c>
      <c r="F14">
        <v>0.65900000000000003</v>
      </c>
      <c r="G14" t="s">
        <v>44</v>
      </c>
      <c r="H14" t="s">
        <v>45</v>
      </c>
      <c r="I14" s="15">
        <v>1256.917201</v>
      </c>
      <c r="J14" s="15">
        <v>2308.9696690000001</v>
      </c>
      <c r="K14" s="15">
        <v>614.57725600000003</v>
      </c>
      <c r="L14" s="15">
        <v>614.57728899999995</v>
      </c>
      <c r="M14" s="15">
        <v>614.57725600000003</v>
      </c>
      <c r="N14" s="15">
        <v>992.90902200000005</v>
      </c>
      <c r="O14" s="10" t="s">
        <v>41</v>
      </c>
      <c r="P14" t="str">
        <f>VLOOKUP($O14,Legend!$H$12:$K$15,2,FALSE)</f>
        <v>Medium hill</v>
      </c>
      <c r="Q14" t="str">
        <f>VLOOKUP($O14,Legend!$H$12:$K$15,3,FALSE)</f>
        <v>Low</v>
      </c>
      <c r="R14" s="11">
        <f>VLOOKUP($O14,Legend!$H$12:$K$15,4,FALSE)</f>
        <v>1</v>
      </c>
      <c r="S14" s="10" t="s">
        <v>36</v>
      </c>
      <c r="T14" t="s">
        <v>40</v>
      </c>
      <c r="U14" t="str">
        <f>VLOOKUP($T14,Legend!$A$12:$F$19,2,FALSE)</f>
        <v>Calcaric Cambisols</v>
      </c>
      <c r="V14" t="str">
        <f>VLOOKUP($T14,Legend!$A$12:$F$19,3,FALSE)</f>
        <v>Cambisol</v>
      </c>
      <c r="W14" t="str">
        <f>VLOOKUP($T14,Legend!$A$12:$F$19,4,FALSE)</f>
        <v>Moderately developed calcareous soil</v>
      </c>
      <c r="X14" t="str">
        <f>VLOOKUP($T14,Legend!$A$12:$F$19,5,FALSE)</f>
        <v>Moderate</v>
      </c>
      <c r="Y14" s="11">
        <f>VLOOKUP($T14,Legend!$A$12:$F$19,6,FALSE)</f>
        <v>3</v>
      </c>
      <c r="Z14" s="10" t="s">
        <v>193</v>
      </c>
      <c r="AA14" t="s">
        <v>194</v>
      </c>
      <c r="AB14" s="11">
        <v>1</v>
      </c>
      <c r="AC14" t="s">
        <v>56</v>
      </c>
    </row>
    <row r="15" spans="1:29" x14ac:dyDescent="0.25">
      <c r="A15">
        <v>13</v>
      </c>
      <c r="B15">
        <v>74.040999999999997</v>
      </c>
      <c r="C15" t="s">
        <v>57</v>
      </c>
      <c r="D15" s="2">
        <v>681141</v>
      </c>
      <c r="E15" s="2">
        <v>3923540</v>
      </c>
      <c r="F15">
        <v>0</v>
      </c>
      <c r="G15" t="s">
        <v>18</v>
      </c>
      <c r="H15" t="s">
        <v>45</v>
      </c>
      <c r="I15" s="15">
        <v>186.989193</v>
      </c>
      <c r="J15" s="15">
        <v>4128.906285</v>
      </c>
      <c r="K15" s="15">
        <v>112.238814</v>
      </c>
      <c r="L15" s="15">
        <v>112.238788</v>
      </c>
      <c r="M15" s="15">
        <v>112.238814</v>
      </c>
      <c r="N15" s="15">
        <v>353.81195000000002</v>
      </c>
      <c r="O15" s="10" t="s">
        <v>20</v>
      </c>
      <c r="P15" t="str">
        <f>VLOOKUP($O15,Legend!$H$12:$K$15,2,FALSE)</f>
        <v>Plain</v>
      </c>
      <c r="Q15" t="str">
        <f>VLOOKUP($O15,Legend!$H$12:$K$15,3,FALSE)</f>
        <v>Moderate-high</v>
      </c>
      <c r="R15" s="11">
        <f>VLOOKUP($O15,Legend!$H$12:$K$15,4,FALSE)</f>
        <v>3</v>
      </c>
      <c r="S15" s="10" t="s">
        <v>25</v>
      </c>
      <c r="T15" t="s">
        <v>58</v>
      </c>
      <c r="U15" t="str">
        <f>VLOOKUP($T15,Legend!$A$12:$F$19,2,FALSE)</f>
        <v>Eutric Fluvisols</v>
      </c>
      <c r="V15" t="str">
        <f>VLOOKUP($T15,Legend!$A$12:$F$19,3,FALSE)</f>
        <v>Fluvisol</v>
      </c>
      <c r="W15" t="str">
        <f>VLOOKUP($T15,Legend!$A$12:$F$19,4,FALSE)</f>
        <v>Alluvial soil; generally fertile</v>
      </c>
      <c r="X15" t="str">
        <f>VLOOKUP($T15,Legend!$A$12:$F$19,5,FALSE)</f>
        <v>High</v>
      </c>
      <c r="Y15" s="11">
        <f>VLOOKUP($T15,Legend!$A$12:$F$19,6,FALSE)</f>
        <v>4</v>
      </c>
      <c r="Z15" s="10" t="s">
        <v>193</v>
      </c>
      <c r="AA15" t="s">
        <v>195</v>
      </c>
      <c r="AB15" s="11">
        <v>3</v>
      </c>
      <c r="AC15" t="s">
        <v>59</v>
      </c>
    </row>
    <row r="16" spans="1:29" x14ac:dyDescent="0.25">
      <c r="A16">
        <v>14</v>
      </c>
      <c r="B16">
        <v>75.042000000000002</v>
      </c>
      <c r="C16" t="s">
        <v>60</v>
      </c>
      <c r="D16" s="2">
        <v>678772</v>
      </c>
      <c r="E16" s="2">
        <v>3925619</v>
      </c>
      <c r="F16">
        <v>25</v>
      </c>
      <c r="G16" t="s">
        <v>18</v>
      </c>
      <c r="H16" t="s">
        <v>45</v>
      </c>
      <c r="I16" s="15">
        <v>1806.215287</v>
      </c>
      <c r="J16" s="15">
        <v>2226.822283</v>
      </c>
      <c r="K16" s="15">
        <v>223.63063299999999</v>
      </c>
      <c r="L16" s="15">
        <v>538.189753</v>
      </c>
      <c r="M16" s="15">
        <v>538.18976899999996</v>
      </c>
      <c r="N16" s="15">
        <v>1497.1138100000001</v>
      </c>
      <c r="O16" s="10" t="s">
        <v>20</v>
      </c>
      <c r="P16" t="str">
        <f>VLOOKUP($O16,Legend!$H$12:$K$15,2,FALSE)</f>
        <v>Plain</v>
      </c>
      <c r="Q16" t="str">
        <f>VLOOKUP($O16,Legend!$H$12:$K$15,3,FALSE)</f>
        <v>Moderate-high</v>
      </c>
      <c r="R16" s="11">
        <f>VLOOKUP($O16,Legend!$H$12:$K$15,4,FALSE)</f>
        <v>3</v>
      </c>
      <c r="S16" s="10" t="s">
        <v>25</v>
      </c>
      <c r="T16" t="s">
        <v>58</v>
      </c>
      <c r="U16" t="str">
        <f>VLOOKUP($T16,Legend!$A$12:$F$19,2,FALSE)</f>
        <v>Eutric Fluvisols</v>
      </c>
      <c r="V16" t="str">
        <f>VLOOKUP($T16,Legend!$A$12:$F$19,3,FALSE)</f>
        <v>Fluvisol</v>
      </c>
      <c r="W16" t="str">
        <f>VLOOKUP($T16,Legend!$A$12:$F$19,4,FALSE)</f>
        <v>Alluvial soil; generally fertile</v>
      </c>
      <c r="X16" t="str">
        <f>VLOOKUP($T16,Legend!$A$12:$F$19,5,FALSE)</f>
        <v>High</v>
      </c>
      <c r="Y16" s="11">
        <f>VLOOKUP($T16,Legend!$A$12:$F$19,6,FALSE)</f>
        <v>4</v>
      </c>
      <c r="Z16" s="10" t="s">
        <v>191</v>
      </c>
      <c r="AA16" t="s">
        <v>192</v>
      </c>
      <c r="AB16" s="11">
        <v>4</v>
      </c>
      <c r="AC16" t="s">
        <v>59</v>
      </c>
    </row>
    <row r="17" spans="1:31" x14ac:dyDescent="0.25">
      <c r="A17">
        <v>15</v>
      </c>
      <c r="B17" t="s">
        <v>61</v>
      </c>
      <c r="C17" t="s">
        <v>62</v>
      </c>
      <c r="D17" s="2">
        <v>663786</v>
      </c>
      <c r="E17" s="2">
        <v>3917982</v>
      </c>
      <c r="F17">
        <v>10</v>
      </c>
      <c r="G17" t="s">
        <v>18</v>
      </c>
      <c r="H17" t="s">
        <v>45</v>
      </c>
      <c r="I17" s="15">
        <v>351.62940700000001</v>
      </c>
      <c r="J17" s="15">
        <v>1447.5286349999999</v>
      </c>
      <c r="K17" s="15">
        <v>57.350915999999998</v>
      </c>
      <c r="L17" s="15">
        <v>57.350920000000002</v>
      </c>
      <c r="M17" s="15">
        <v>57.350915999999998</v>
      </c>
      <c r="N17" s="15">
        <v>57.350915999999998</v>
      </c>
      <c r="O17" s="10" t="s">
        <v>20</v>
      </c>
      <c r="P17" t="str">
        <f>VLOOKUP($O17,Legend!$H$12:$K$15,2,FALSE)</f>
        <v>Plain</v>
      </c>
      <c r="Q17" t="str">
        <f>VLOOKUP($O17,Legend!$H$12:$K$15,3,FALSE)</f>
        <v>Moderate-high</v>
      </c>
      <c r="R17" s="11">
        <f>VLOOKUP($O17,Legend!$H$12:$K$15,4,FALSE)</f>
        <v>3</v>
      </c>
      <c r="S17" s="10" t="s">
        <v>25</v>
      </c>
      <c r="T17" t="s">
        <v>58</v>
      </c>
      <c r="U17" t="str">
        <f>VLOOKUP($T17,Legend!$A$12:$F$19,2,FALSE)</f>
        <v>Eutric Fluvisols</v>
      </c>
      <c r="V17" t="str">
        <f>VLOOKUP($T17,Legend!$A$12:$F$19,3,FALSE)</f>
        <v>Fluvisol</v>
      </c>
      <c r="W17" t="str">
        <f>VLOOKUP($T17,Legend!$A$12:$F$19,4,FALSE)</f>
        <v>Alluvial soil; generally fertile</v>
      </c>
      <c r="X17" t="str">
        <f>VLOOKUP($T17,Legend!$A$12:$F$19,5,FALSE)</f>
        <v>High</v>
      </c>
      <c r="Y17" s="11">
        <f>VLOOKUP($T17,Legend!$A$12:$F$19,6,FALSE)</f>
        <v>4</v>
      </c>
      <c r="Z17" s="10" t="s">
        <v>191</v>
      </c>
      <c r="AA17" t="s">
        <v>192</v>
      </c>
      <c r="AB17" s="11">
        <v>4</v>
      </c>
      <c r="AC17" t="s">
        <v>59</v>
      </c>
    </row>
    <row r="18" spans="1:31" ht="15.75" thickBot="1" x14ac:dyDescent="0.3">
      <c r="A18">
        <v>16</v>
      </c>
      <c r="B18" t="s">
        <v>63</v>
      </c>
      <c r="C18" t="s">
        <v>64</v>
      </c>
      <c r="D18" s="2">
        <v>668294</v>
      </c>
      <c r="E18" s="2">
        <v>3905969</v>
      </c>
      <c r="F18">
        <v>50</v>
      </c>
      <c r="G18" t="s">
        <v>18</v>
      </c>
      <c r="H18" t="s">
        <v>45</v>
      </c>
      <c r="I18" s="15">
        <v>1418.756412</v>
      </c>
      <c r="J18" s="15">
        <v>1858.5772469999999</v>
      </c>
      <c r="K18" s="15">
        <v>85.963969000000006</v>
      </c>
      <c r="L18" s="15">
        <v>218.18803500000001</v>
      </c>
      <c r="M18" s="15">
        <v>331.33648899999997</v>
      </c>
      <c r="N18" s="15">
        <v>614.84538399999997</v>
      </c>
      <c r="O18" s="10" t="s">
        <v>20</v>
      </c>
      <c r="P18" t="str">
        <f>VLOOKUP($O18,Legend!$H$12:$K$15,2,FALSE)</f>
        <v>Plain</v>
      </c>
      <c r="Q18" t="str">
        <f>VLOOKUP($O18,Legend!$H$12:$K$15,3,FALSE)</f>
        <v>Moderate-high</v>
      </c>
      <c r="R18" s="11">
        <f>VLOOKUP($O18,Legend!$H$12:$K$15,4,FALSE)</f>
        <v>3</v>
      </c>
      <c r="S18" s="10" t="s">
        <v>65</v>
      </c>
      <c r="T18" t="s">
        <v>66</v>
      </c>
      <c r="U18" t="str">
        <f>VLOOKUP($T18,Legend!$A$12:$F$19,2,FALSE)</f>
        <v>Petric Calcisols</v>
      </c>
      <c r="V18" t="str">
        <f>VLOOKUP($T18,Legend!$A$12:$F$19,3,FALSE)</f>
        <v>Calcisol</v>
      </c>
      <c r="W18" t="str">
        <f>VLOOKUP($T18,Legend!$A$12:$F$19,4,FALSE)</f>
        <v>Petrocalcic hardpan / restricted rooting</v>
      </c>
      <c r="X18" t="str">
        <f>VLOOKUP($T18,Legend!$A$12:$F$19,5,FALSE)</f>
        <v>Low</v>
      </c>
      <c r="Y18" s="11">
        <f>VLOOKUP($T18,Legend!$A$12:$F$19,6,FALSE)</f>
        <v>2</v>
      </c>
      <c r="Z18" s="10" t="s">
        <v>191</v>
      </c>
      <c r="AA18" t="s">
        <v>192</v>
      </c>
      <c r="AB18" s="11">
        <v>4</v>
      </c>
      <c r="AC18" t="s">
        <v>59</v>
      </c>
    </row>
    <row r="19" spans="1:31" ht="15.75" thickBot="1" x14ac:dyDescent="0.3">
      <c r="A19">
        <v>17</v>
      </c>
      <c r="B19">
        <v>74.031000000000006</v>
      </c>
      <c r="C19" t="s">
        <v>67</v>
      </c>
      <c r="D19" s="2">
        <v>672708</v>
      </c>
      <c r="E19" s="2">
        <v>3926915</v>
      </c>
      <c r="F19">
        <v>10</v>
      </c>
      <c r="G19" t="s">
        <v>18</v>
      </c>
      <c r="H19" t="s">
        <v>19</v>
      </c>
      <c r="I19" s="15">
        <v>1726.8769600000001</v>
      </c>
      <c r="J19" s="15">
        <v>987.08056199999999</v>
      </c>
      <c r="K19" s="15">
        <v>29.697659999999999</v>
      </c>
      <c r="L19" s="15">
        <v>29.697693000000001</v>
      </c>
      <c r="M19" s="15">
        <v>29.697659999999999</v>
      </c>
      <c r="N19" s="15">
        <v>29.697659999999999</v>
      </c>
      <c r="O19" s="10" t="s">
        <v>20</v>
      </c>
      <c r="P19" t="str">
        <f>VLOOKUP($O19,Legend!$H$12:$K$15,2,FALSE)</f>
        <v>Plain</v>
      </c>
      <c r="Q19" t="str">
        <f>VLOOKUP($O19,Legend!$H$12:$K$15,3,FALSE)</f>
        <v>Moderate-high</v>
      </c>
      <c r="R19" s="11">
        <f>VLOOKUP($O19,Legend!$H$12:$K$15,4,FALSE)</f>
        <v>3</v>
      </c>
      <c r="S19" s="10" t="s">
        <v>65</v>
      </c>
      <c r="T19" t="s">
        <v>68</v>
      </c>
      <c r="U19" t="str">
        <f>VLOOKUP($T19,Legend!$A$12:$F$19,2,FALSE)</f>
        <v>Luvic Calcisols</v>
      </c>
      <c r="V19" t="str">
        <f>VLOOKUP($T19,Legend!$A$12:$F$19,3,FALSE)</f>
        <v>Calcisol</v>
      </c>
      <c r="W19" t="str">
        <f>VLOOKUP($T19,Legend!$A$12:$F$19,4,FALSE)</f>
        <v>Calcareous soil with clay accumulation</v>
      </c>
      <c r="X19" t="str">
        <f>VLOOKUP($T19,Legend!$A$12:$F$19,5,FALSE)</f>
        <v>Moderate</v>
      </c>
      <c r="Y19" s="11">
        <f>VLOOKUP($T19,Legend!$A$12:$F$19,6,FALSE)</f>
        <v>3</v>
      </c>
      <c r="Z19" s="10" t="s">
        <v>191</v>
      </c>
      <c r="AA19" t="s">
        <v>192</v>
      </c>
      <c r="AB19" s="11">
        <v>4</v>
      </c>
      <c r="AC19" t="s">
        <v>59</v>
      </c>
      <c r="AE19" s="13"/>
    </row>
    <row r="20" spans="1:31" x14ac:dyDescent="0.25">
      <c r="A20">
        <v>18</v>
      </c>
      <c r="B20" t="s">
        <v>69</v>
      </c>
      <c r="C20" t="s">
        <v>70</v>
      </c>
      <c r="D20" s="2">
        <v>669247</v>
      </c>
      <c r="E20" s="2">
        <v>3922482</v>
      </c>
      <c r="F20">
        <v>10</v>
      </c>
      <c r="G20" t="s">
        <v>18</v>
      </c>
      <c r="H20" t="s">
        <v>19</v>
      </c>
      <c r="I20" s="15">
        <v>19.313044999999999</v>
      </c>
      <c r="J20" s="15">
        <v>1273.7786900000001</v>
      </c>
      <c r="K20" s="15">
        <v>2.0117530000000001</v>
      </c>
      <c r="L20" s="15">
        <v>2.0117630000000002</v>
      </c>
      <c r="M20" s="15">
        <v>2.0117530000000001</v>
      </c>
      <c r="N20" s="15">
        <v>2.0117530000000001</v>
      </c>
      <c r="O20" s="10" t="s">
        <v>20</v>
      </c>
      <c r="P20" t="str">
        <f>VLOOKUP($O20,Legend!$H$12:$K$15,2,FALSE)</f>
        <v>Plain</v>
      </c>
      <c r="Q20" t="str">
        <f>VLOOKUP($O20,Legend!$H$12:$K$15,3,FALSE)</f>
        <v>Moderate-high</v>
      </c>
      <c r="R20" s="11">
        <f>VLOOKUP($O20,Legend!$H$12:$K$15,4,FALSE)</f>
        <v>3</v>
      </c>
      <c r="S20" s="10" t="s">
        <v>25</v>
      </c>
      <c r="T20" t="s">
        <v>58</v>
      </c>
      <c r="U20" t="str">
        <f>VLOOKUP($T20,Legend!$A$12:$F$19,2,FALSE)</f>
        <v>Eutric Fluvisols</v>
      </c>
      <c r="V20" t="str">
        <f>VLOOKUP($T20,Legend!$A$12:$F$19,3,FALSE)</f>
        <v>Fluvisol</v>
      </c>
      <c r="W20" t="str">
        <f>VLOOKUP($T20,Legend!$A$12:$F$19,4,FALSE)</f>
        <v>Alluvial soil; generally fertile</v>
      </c>
      <c r="X20" t="str">
        <f>VLOOKUP($T20,Legend!$A$12:$F$19,5,FALSE)</f>
        <v>High</v>
      </c>
      <c r="Y20" s="11">
        <f>VLOOKUP($T20,Legend!$A$12:$F$19,6,FALSE)</f>
        <v>4</v>
      </c>
      <c r="Z20" s="10" t="s">
        <v>191</v>
      </c>
      <c r="AA20" t="s">
        <v>192</v>
      </c>
      <c r="AB20" s="11">
        <v>4</v>
      </c>
      <c r="AC20" t="s">
        <v>59</v>
      </c>
    </row>
    <row r="21" spans="1:31" x14ac:dyDescent="0.25">
      <c r="A21">
        <v>19</v>
      </c>
      <c r="B21">
        <v>74.007000000000005</v>
      </c>
      <c r="C21" t="s">
        <v>71</v>
      </c>
      <c r="D21" s="2">
        <v>667904</v>
      </c>
      <c r="E21" s="2">
        <v>3932773</v>
      </c>
      <c r="F21" s="1" t="s">
        <v>72</v>
      </c>
      <c r="G21" t="s">
        <v>44</v>
      </c>
      <c r="H21" t="s">
        <v>45</v>
      </c>
      <c r="I21" s="15">
        <v>743.27763000000004</v>
      </c>
      <c r="J21" s="15">
        <v>3012.2662770000002</v>
      </c>
      <c r="K21" s="15">
        <v>39.128587000000003</v>
      </c>
      <c r="L21" s="15">
        <v>488.86930599999999</v>
      </c>
      <c r="M21" s="15">
        <v>544.87170300000002</v>
      </c>
      <c r="N21" s="15">
        <v>826.79168900000002</v>
      </c>
      <c r="O21" s="10" t="s">
        <v>20</v>
      </c>
      <c r="P21" t="str">
        <f>VLOOKUP($O21,Legend!$H$12:$K$15,2,FALSE)</f>
        <v>Plain</v>
      </c>
      <c r="Q21" t="str">
        <f>VLOOKUP($O21,Legend!$H$12:$K$15,3,FALSE)</f>
        <v>Moderate-high</v>
      </c>
      <c r="R21" s="11">
        <f>VLOOKUP($O21,Legend!$H$12:$K$15,4,FALSE)</f>
        <v>3</v>
      </c>
      <c r="S21" s="10" t="s">
        <v>25</v>
      </c>
      <c r="T21" t="s">
        <v>58</v>
      </c>
      <c r="U21" t="str">
        <f>VLOOKUP($T21,Legend!$A$12:$F$19,2,FALSE)</f>
        <v>Eutric Fluvisols</v>
      </c>
      <c r="V21" t="str">
        <f>VLOOKUP($T21,Legend!$A$12:$F$19,3,FALSE)</f>
        <v>Fluvisol</v>
      </c>
      <c r="W21" t="str">
        <f>VLOOKUP($T21,Legend!$A$12:$F$19,4,FALSE)</f>
        <v>Alluvial soil; generally fertile</v>
      </c>
      <c r="X21" t="str">
        <f>VLOOKUP($T21,Legend!$A$12:$F$19,5,FALSE)</f>
        <v>High</v>
      </c>
      <c r="Y21" s="11">
        <f>VLOOKUP($T21,Legend!$A$12:$F$19,6,FALSE)</f>
        <v>4</v>
      </c>
      <c r="Z21" s="10" t="s">
        <v>193</v>
      </c>
      <c r="AA21" t="s">
        <v>195</v>
      </c>
      <c r="AB21" s="11">
        <v>3</v>
      </c>
      <c r="AC21" t="s">
        <v>59</v>
      </c>
    </row>
    <row r="22" spans="1:31" x14ac:dyDescent="0.25">
      <c r="A22">
        <v>20</v>
      </c>
      <c r="B22">
        <v>74.021000000000001</v>
      </c>
      <c r="C22" t="s">
        <v>73</v>
      </c>
      <c r="D22" s="2">
        <v>676613</v>
      </c>
      <c r="E22" s="2">
        <v>3932052</v>
      </c>
      <c r="F22">
        <v>0.05</v>
      </c>
      <c r="G22" t="s">
        <v>44</v>
      </c>
      <c r="H22" t="s">
        <v>45</v>
      </c>
      <c r="I22" s="15">
        <v>659.39017699999999</v>
      </c>
      <c r="J22" s="15">
        <v>4334.0088889999997</v>
      </c>
      <c r="K22" s="15">
        <v>74.795550000000006</v>
      </c>
      <c r="L22" s="15">
        <v>74.795516000000006</v>
      </c>
      <c r="M22" s="15">
        <v>74.795550000000006</v>
      </c>
      <c r="N22" s="15">
        <v>339.95689599999997</v>
      </c>
      <c r="O22" s="10" t="s">
        <v>20</v>
      </c>
      <c r="P22" t="str">
        <f>VLOOKUP($O22,Legend!$H$12:$K$15,2,FALSE)</f>
        <v>Plain</v>
      </c>
      <c r="Q22" t="str">
        <f>VLOOKUP($O22,Legend!$H$12:$K$15,3,FALSE)</f>
        <v>Moderate-high</v>
      </c>
      <c r="R22" s="11">
        <f>VLOOKUP($O22,Legend!$H$12:$K$15,4,FALSE)</f>
        <v>3</v>
      </c>
      <c r="S22" s="10" t="s">
        <v>65</v>
      </c>
      <c r="T22" t="s">
        <v>68</v>
      </c>
      <c r="U22" t="str">
        <f>VLOOKUP($T22,Legend!$A$12:$F$19,2,FALSE)</f>
        <v>Luvic Calcisols</v>
      </c>
      <c r="V22" t="str">
        <f>VLOOKUP($T22,Legend!$A$12:$F$19,3,FALSE)</f>
        <v>Calcisol</v>
      </c>
      <c r="W22" t="str">
        <f>VLOOKUP($T22,Legend!$A$12:$F$19,4,FALSE)</f>
        <v>Calcareous soil with clay accumulation</v>
      </c>
      <c r="X22" t="str">
        <f>VLOOKUP($T22,Legend!$A$12:$F$19,5,FALSE)</f>
        <v>Moderate</v>
      </c>
      <c r="Y22" s="11">
        <f>VLOOKUP($T22,Legend!$A$12:$F$19,6,FALSE)</f>
        <v>3</v>
      </c>
      <c r="Z22" s="10" t="s">
        <v>191</v>
      </c>
      <c r="AA22" t="s">
        <v>192</v>
      </c>
      <c r="AB22" s="11">
        <v>4</v>
      </c>
      <c r="AC22" t="s">
        <v>59</v>
      </c>
    </row>
    <row r="23" spans="1:31" x14ac:dyDescent="0.25">
      <c r="A23">
        <v>21</v>
      </c>
      <c r="B23">
        <v>74.028000000000006</v>
      </c>
      <c r="C23" t="s">
        <v>74</v>
      </c>
      <c r="D23" s="2">
        <v>673788</v>
      </c>
      <c r="E23" s="2">
        <v>3929175</v>
      </c>
      <c r="F23">
        <v>35</v>
      </c>
      <c r="G23" t="s">
        <v>44</v>
      </c>
      <c r="H23" t="s">
        <v>45</v>
      </c>
      <c r="I23" s="15">
        <v>2485.8735259999999</v>
      </c>
      <c r="J23" s="15">
        <v>2782.3243000000002</v>
      </c>
      <c r="K23" s="15">
        <v>240.802888</v>
      </c>
      <c r="L23" s="15">
        <v>240.80287899999999</v>
      </c>
      <c r="M23" s="15">
        <v>240.802888</v>
      </c>
      <c r="N23" s="15">
        <v>240.31549799999999</v>
      </c>
      <c r="O23" s="10" t="s">
        <v>20</v>
      </c>
      <c r="P23" t="str">
        <f>VLOOKUP($O23,Legend!$H$12:$K$15,2,FALSE)</f>
        <v>Plain</v>
      </c>
      <c r="Q23" t="str">
        <f>VLOOKUP($O23,Legend!$H$12:$K$15,3,FALSE)</f>
        <v>Moderate-high</v>
      </c>
      <c r="R23" s="11">
        <f>VLOOKUP($O23,Legend!$H$12:$K$15,4,FALSE)</f>
        <v>3</v>
      </c>
      <c r="S23" s="10" t="s">
        <v>65</v>
      </c>
      <c r="T23" t="s">
        <v>68</v>
      </c>
      <c r="U23" t="str">
        <f>VLOOKUP($T23,Legend!$A$12:$F$19,2,FALSE)</f>
        <v>Luvic Calcisols</v>
      </c>
      <c r="V23" t="str">
        <f>VLOOKUP($T23,Legend!$A$12:$F$19,3,FALSE)</f>
        <v>Calcisol</v>
      </c>
      <c r="W23" t="str">
        <f>VLOOKUP($T23,Legend!$A$12:$F$19,4,FALSE)</f>
        <v>Calcareous soil with clay accumulation</v>
      </c>
      <c r="X23" t="str">
        <f>VLOOKUP($T23,Legend!$A$12:$F$19,5,FALSE)</f>
        <v>Moderate</v>
      </c>
      <c r="Y23" s="11">
        <f>VLOOKUP($T23,Legend!$A$12:$F$19,6,FALSE)</f>
        <v>3</v>
      </c>
      <c r="Z23" s="10" t="s">
        <v>191</v>
      </c>
      <c r="AA23" t="s">
        <v>192</v>
      </c>
      <c r="AB23" s="11">
        <v>4</v>
      </c>
      <c r="AC23" t="s">
        <v>59</v>
      </c>
    </row>
    <row r="24" spans="1:31" x14ac:dyDescent="0.25">
      <c r="A24">
        <v>22</v>
      </c>
      <c r="B24">
        <v>74.034999999999997</v>
      </c>
      <c r="C24" t="s">
        <v>72</v>
      </c>
      <c r="D24" s="2">
        <v>675837</v>
      </c>
      <c r="E24" s="2">
        <v>3923792</v>
      </c>
      <c r="F24">
        <v>2</v>
      </c>
      <c r="G24" t="s">
        <v>44</v>
      </c>
      <c r="H24" t="s">
        <v>45</v>
      </c>
      <c r="I24" s="15">
        <v>626.69129199999998</v>
      </c>
      <c r="J24" s="15">
        <v>2932.0588550000002</v>
      </c>
      <c r="K24" s="15">
        <v>134.556623</v>
      </c>
      <c r="L24" s="15">
        <v>248.67409599999999</v>
      </c>
      <c r="M24" s="15">
        <v>671.02928899999995</v>
      </c>
      <c r="N24" s="15">
        <v>976.56880000000001</v>
      </c>
      <c r="O24" s="10" t="s">
        <v>20</v>
      </c>
      <c r="P24" t="str">
        <f>VLOOKUP($O24,Legend!$H$12:$K$15,2,FALSE)</f>
        <v>Plain</v>
      </c>
      <c r="Q24" t="str">
        <f>VLOOKUP($O24,Legend!$H$12:$K$15,3,FALSE)</f>
        <v>Moderate-high</v>
      </c>
      <c r="R24" s="11">
        <f>VLOOKUP($O24,Legend!$H$12:$K$15,4,FALSE)</f>
        <v>3</v>
      </c>
      <c r="S24" s="10" t="s">
        <v>25</v>
      </c>
      <c r="T24" t="s">
        <v>58</v>
      </c>
      <c r="U24" t="str">
        <f>VLOOKUP($T24,Legend!$A$12:$F$19,2,FALSE)</f>
        <v>Eutric Fluvisols</v>
      </c>
      <c r="V24" t="str">
        <f>VLOOKUP($T24,Legend!$A$12:$F$19,3,FALSE)</f>
        <v>Fluvisol</v>
      </c>
      <c r="W24" t="str">
        <f>VLOOKUP($T24,Legend!$A$12:$F$19,4,FALSE)</f>
        <v>Alluvial soil; generally fertile</v>
      </c>
      <c r="X24" t="str">
        <f>VLOOKUP($T24,Legend!$A$12:$F$19,5,FALSE)</f>
        <v>High</v>
      </c>
      <c r="Y24" s="11">
        <f>VLOOKUP($T24,Legend!$A$12:$F$19,6,FALSE)</f>
        <v>4</v>
      </c>
      <c r="Z24" s="10" t="s">
        <v>193</v>
      </c>
      <c r="AA24" t="s">
        <v>195</v>
      </c>
      <c r="AB24" s="11">
        <v>3</v>
      </c>
      <c r="AC24" t="s">
        <v>59</v>
      </c>
    </row>
    <row r="25" spans="1:31" x14ac:dyDescent="0.25">
      <c r="A25">
        <v>23</v>
      </c>
      <c r="B25">
        <v>74.036000000000001</v>
      </c>
      <c r="C25" t="s">
        <v>75</v>
      </c>
      <c r="D25" s="2">
        <v>674548</v>
      </c>
      <c r="E25" s="2">
        <v>3922580</v>
      </c>
      <c r="F25">
        <v>0.16</v>
      </c>
      <c r="G25" t="s">
        <v>44</v>
      </c>
      <c r="H25" t="s">
        <v>45</v>
      </c>
      <c r="I25" s="15">
        <v>13.085805000000001</v>
      </c>
      <c r="J25" s="15">
        <v>3655.7044689999998</v>
      </c>
      <c r="K25" s="15">
        <v>43.145679000000001</v>
      </c>
      <c r="L25" s="15">
        <v>43.145708999999997</v>
      </c>
      <c r="M25" s="15">
        <v>43.145679000000001</v>
      </c>
      <c r="N25" s="15">
        <v>43.145679000000001</v>
      </c>
      <c r="O25" s="10" t="s">
        <v>20</v>
      </c>
      <c r="P25" t="str">
        <f>VLOOKUP($O25,Legend!$H$12:$K$15,2,FALSE)</f>
        <v>Plain</v>
      </c>
      <c r="Q25" t="str">
        <f>VLOOKUP($O25,Legend!$H$12:$K$15,3,FALSE)</f>
        <v>Moderate-high</v>
      </c>
      <c r="R25" s="11">
        <f>VLOOKUP($O25,Legend!$H$12:$K$15,4,FALSE)</f>
        <v>3</v>
      </c>
      <c r="S25" s="10" t="s">
        <v>65</v>
      </c>
      <c r="T25" t="s">
        <v>68</v>
      </c>
      <c r="U25" t="str">
        <f>VLOOKUP($T25,Legend!$A$12:$F$19,2,FALSE)</f>
        <v>Luvic Calcisols</v>
      </c>
      <c r="V25" t="str">
        <f>VLOOKUP($T25,Legend!$A$12:$F$19,3,FALSE)</f>
        <v>Calcisol</v>
      </c>
      <c r="W25" t="str">
        <f>VLOOKUP($T25,Legend!$A$12:$F$19,4,FALSE)</f>
        <v>Calcareous soil with clay accumulation</v>
      </c>
      <c r="X25" t="str">
        <f>VLOOKUP($T25,Legend!$A$12:$F$19,5,FALSE)</f>
        <v>Moderate</v>
      </c>
      <c r="Y25" s="11">
        <f>VLOOKUP($T25,Legend!$A$12:$F$19,6,FALSE)</f>
        <v>3</v>
      </c>
      <c r="Z25" s="10" t="s">
        <v>191</v>
      </c>
      <c r="AA25" t="s">
        <v>192</v>
      </c>
      <c r="AB25" s="11">
        <v>4</v>
      </c>
      <c r="AC25" t="s">
        <v>59</v>
      </c>
    </row>
    <row r="26" spans="1:31" x14ac:dyDescent="0.25">
      <c r="A26">
        <v>24</v>
      </c>
      <c r="B26">
        <v>74.161000000000001</v>
      </c>
      <c r="C26" t="s">
        <v>76</v>
      </c>
      <c r="D26" s="2">
        <v>668929</v>
      </c>
      <c r="E26" s="2">
        <v>3913277</v>
      </c>
      <c r="F26" s="1" t="s">
        <v>72</v>
      </c>
      <c r="G26" t="s">
        <v>44</v>
      </c>
      <c r="H26" t="s">
        <v>19</v>
      </c>
      <c r="I26" s="15">
        <v>1938.7774429999999</v>
      </c>
      <c r="J26" s="15">
        <v>1681.063582</v>
      </c>
      <c r="K26" s="15">
        <v>585.37804100000005</v>
      </c>
      <c r="L26" s="15">
        <v>860.02853400000004</v>
      </c>
      <c r="M26" s="15">
        <v>860.02849600000002</v>
      </c>
      <c r="N26" s="15">
        <v>1776.2505209999999</v>
      </c>
      <c r="O26" s="10" t="s">
        <v>20</v>
      </c>
      <c r="P26" t="str">
        <f>VLOOKUP($O26,Legend!$H$12:$K$15,2,FALSE)</f>
        <v>Plain</v>
      </c>
      <c r="Q26" t="str">
        <f>VLOOKUP($O26,Legend!$H$12:$K$15,3,FALSE)</f>
        <v>Moderate-high</v>
      </c>
      <c r="R26" s="11">
        <f>VLOOKUP($O26,Legend!$H$12:$K$15,4,FALSE)</f>
        <v>3</v>
      </c>
      <c r="S26" s="10" t="s">
        <v>36</v>
      </c>
      <c r="T26" t="s">
        <v>66</v>
      </c>
      <c r="U26" t="str">
        <f>VLOOKUP($T26,Legend!$A$12:$F$19,2,FALSE)</f>
        <v>Petric Calcisols</v>
      </c>
      <c r="V26" t="str">
        <f>VLOOKUP($T26,Legend!$A$12:$F$19,3,FALSE)</f>
        <v>Calcisol</v>
      </c>
      <c r="W26" t="str">
        <f>VLOOKUP($T26,Legend!$A$12:$F$19,4,FALSE)</f>
        <v>Petrocalcic hardpan / restricted rooting</v>
      </c>
      <c r="X26" t="str">
        <f>VLOOKUP($T26,Legend!$A$12:$F$19,5,FALSE)</f>
        <v>Low</v>
      </c>
      <c r="Y26" s="11">
        <f>VLOOKUP($T26,Legend!$A$12:$F$19,6,FALSE)</f>
        <v>2</v>
      </c>
      <c r="Z26" s="10" t="s">
        <v>193</v>
      </c>
      <c r="AA26" t="s">
        <v>195</v>
      </c>
      <c r="AB26" s="11">
        <v>3</v>
      </c>
      <c r="AC26" t="s">
        <v>59</v>
      </c>
    </row>
    <row r="27" spans="1:31" x14ac:dyDescent="0.25">
      <c r="A27">
        <v>25</v>
      </c>
      <c r="B27">
        <v>74.186000000000007</v>
      </c>
      <c r="C27" t="s">
        <v>77</v>
      </c>
      <c r="D27" s="2">
        <v>672974</v>
      </c>
      <c r="E27" s="2">
        <v>3919565</v>
      </c>
      <c r="F27">
        <v>1</v>
      </c>
      <c r="G27" t="s">
        <v>44</v>
      </c>
      <c r="H27" t="s">
        <v>19</v>
      </c>
      <c r="I27" s="15">
        <v>2970.933849</v>
      </c>
      <c r="J27" s="15">
        <v>3517.1336219999998</v>
      </c>
      <c r="K27" s="15">
        <v>529.85803899999996</v>
      </c>
      <c r="L27" s="15">
        <v>533.25220400000001</v>
      </c>
      <c r="M27" s="15">
        <v>533.25224500000002</v>
      </c>
      <c r="N27" s="15">
        <v>1123.1213720000001</v>
      </c>
      <c r="O27" s="10" t="s">
        <v>20</v>
      </c>
      <c r="P27" t="str">
        <f>VLOOKUP($O27,Legend!$H$12:$K$15,2,FALSE)</f>
        <v>Plain</v>
      </c>
      <c r="Q27" t="str">
        <f>VLOOKUP($O27,Legend!$H$12:$K$15,3,FALSE)</f>
        <v>Moderate-high</v>
      </c>
      <c r="R27" s="11">
        <f>VLOOKUP($O27,Legend!$H$12:$K$15,4,FALSE)</f>
        <v>3</v>
      </c>
      <c r="S27" s="10" t="s">
        <v>65</v>
      </c>
      <c r="T27" t="s">
        <v>68</v>
      </c>
      <c r="U27" t="str">
        <f>VLOOKUP($T27,Legend!$A$12:$F$19,2,FALSE)</f>
        <v>Luvic Calcisols</v>
      </c>
      <c r="V27" t="str">
        <f>VLOOKUP($T27,Legend!$A$12:$F$19,3,FALSE)</f>
        <v>Calcisol</v>
      </c>
      <c r="W27" t="str">
        <f>VLOOKUP($T27,Legend!$A$12:$F$19,4,FALSE)</f>
        <v>Calcareous soil with clay accumulation</v>
      </c>
      <c r="X27" t="str">
        <f>VLOOKUP($T27,Legend!$A$12:$F$19,5,FALSE)</f>
        <v>Moderate</v>
      </c>
      <c r="Y27" s="11">
        <f>VLOOKUP($T27,Legend!$A$12:$F$19,6,FALSE)</f>
        <v>3</v>
      </c>
      <c r="Z27" s="10" t="s">
        <v>193</v>
      </c>
      <c r="AA27" t="s">
        <v>195</v>
      </c>
      <c r="AB27" s="11">
        <v>3</v>
      </c>
      <c r="AC27" t="s">
        <v>59</v>
      </c>
    </row>
    <row r="28" spans="1:31" x14ac:dyDescent="0.25">
      <c r="A28">
        <v>26</v>
      </c>
      <c r="B28">
        <v>74.22</v>
      </c>
      <c r="C28" t="s">
        <v>78</v>
      </c>
      <c r="D28" s="2">
        <v>677998</v>
      </c>
      <c r="E28" s="2">
        <v>3922711</v>
      </c>
      <c r="F28">
        <v>1.5</v>
      </c>
      <c r="G28" t="s">
        <v>44</v>
      </c>
      <c r="H28" t="s">
        <v>19</v>
      </c>
      <c r="I28" s="15">
        <v>912.95930199999998</v>
      </c>
      <c r="J28" s="15">
        <v>4690.9797410000001</v>
      </c>
      <c r="K28" s="15">
        <v>206.83805799999999</v>
      </c>
      <c r="L28" s="15">
        <v>277.88182499999999</v>
      </c>
      <c r="M28" s="15">
        <v>277.881844</v>
      </c>
      <c r="N28" s="15">
        <v>277.881844</v>
      </c>
      <c r="O28" s="10" t="s">
        <v>20</v>
      </c>
      <c r="P28" t="str">
        <f>VLOOKUP($O28,Legend!$H$12:$K$15,2,FALSE)</f>
        <v>Plain</v>
      </c>
      <c r="Q28" t="str">
        <f>VLOOKUP($O28,Legend!$H$12:$K$15,3,FALSE)</f>
        <v>Moderate-high</v>
      </c>
      <c r="R28" s="11">
        <f>VLOOKUP($O28,Legend!$H$12:$K$15,4,FALSE)</f>
        <v>3</v>
      </c>
      <c r="S28" s="10" t="s">
        <v>25</v>
      </c>
      <c r="T28" t="s">
        <v>58</v>
      </c>
      <c r="U28" t="str">
        <f>VLOOKUP($T28,Legend!$A$12:$F$19,2,FALSE)</f>
        <v>Eutric Fluvisols</v>
      </c>
      <c r="V28" t="str">
        <f>VLOOKUP($T28,Legend!$A$12:$F$19,3,FALSE)</f>
        <v>Fluvisol</v>
      </c>
      <c r="W28" t="str">
        <f>VLOOKUP($T28,Legend!$A$12:$F$19,4,FALSE)</f>
        <v>Alluvial soil; generally fertile</v>
      </c>
      <c r="X28" t="str">
        <f>VLOOKUP($T28,Legend!$A$12:$F$19,5,FALSE)</f>
        <v>High</v>
      </c>
      <c r="Y28" s="11">
        <f>VLOOKUP($T28,Legend!$A$12:$F$19,6,FALSE)</f>
        <v>4</v>
      </c>
      <c r="Z28" s="10" t="s">
        <v>193</v>
      </c>
      <c r="AA28" t="s">
        <v>195</v>
      </c>
      <c r="AB28" s="11">
        <v>3</v>
      </c>
      <c r="AC28" t="s">
        <v>59</v>
      </c>
    </row>
    <row r="29" spans="1:31" x14ac:dyDescent="0.25">
      <c r="A29">
        <v>27</v>
      </c>
      <c r="B29">
        <v>72.061000000000007</v>
      </c>
      <c r="C29" t="s">
        <v>72</v>
      </c>
      <c r="D29" s="2">
        <v>605508</v>
      </c>
      <c r="E29" s="2">
        <v>3930908</v>
      </c>
      <c r="F29">
        <v>9</v>
      </c>
      <c r="G29" t="s">
        <v>18</v>
      </c>
      <c r="H29" t="s">
        <v>45</v>
      </c>
      <c r="I29" s="15">
        <v>334.852844</v>
      </c>
      <c r="J29" s="15">
        <v>2071.3723519999999</v>
      </c>
      <c r="K29" s="15">
        <v>156.603329</v>
      </c>
      <c r="L29" s="15">
        <v>156.60334</v>
      </c>
      <c r="M29" s="15">
        <v>156.603329</v>
      </c>
      <c r="N29" s="15">
        <v>156.603329</v>
      </c>
      <c r="O29" s="10" t="s">
        <v>20</v>
      </c>
      <c r="P29" t="str">
        <f>VLOOKUP($O29,Legend!$H$12:$K$15,2,FALSE)</f>
        <v>Plain</v>
      </c>
      <c r="Q29" t="str">
        <f>VLOOKUP($O29,Legend!$H$12:$K$15,3,FALSE)</f>
        <v>Moderate-high</v>
      </c>
      <c r="R29" s="11">
        <f>VLOOKUP($O29,Legend!$H$12:$K$15,4,FALSE)</f>
        <v>3</v>
      </c>
      <c r="S29" s="10" t="s">
        <v>79</v>
      </c>
      <c r="T29" t="s">
        <v>80</v>
      </c>
      <c r="U29" t="str">
        <f>VLOOKUP($T29,Legend!$A$12:$F$19,2,FALSE)</f>
        <v>Calcic Solonetz</v>
      </c>
      <c r="V29" t="str">
        <f>VLOOKUP($T29,Legend!$A$12:$F$19,3,FALSE)</f>
        <v>Solonetz</v>
      </c>
      <c r="W29" t="str">
        <f>VLOOKUP($T29,Legend!$A$12:$F$19,4,FALSE)</f>
        <v>Sodicity / structural constraint</v>
      </c>
      <c r="X29" t="str">
        <f>VLOOKUP($T29,Legend!$A$12:$F$19,5,FALSE)</f>
        <v>Very low</v>
      </c>
      <c r="Y29" s="11">
        <f>VLOOKUP($T29,Legend!$A$12:$F$19,6,FALSE)</f>
        <v>1</v>
      </c>
      <c r="Z29" s="10" t="s">
        <v>191</v>
      </c>
      <c r="AA29" t="s">
        <v>192</v>
      </c>
      <c r="AB29" s="11">
        <v>4</v>
      </c>
      <c r="AC29" t="s">
        <v>81</v>
      </c>
    </row>
    <row r="30" spans="1:31" x14ac:dyDescent="0.25">
      <c r="A30">
        <v>28</v>
      </c>
      <c r="B30">
        <v>72.051000000000002</v>
      </c>
      <c r="C30" t="s">
        <v>82</v>
      </c>
      <c r="D30" s="2">
        <v>624956</v>
      </c>
      <c r="E30" s="2">
        <v>3925884</v>
      </c>
      <c r="F30">
        <v>9</v>
      </c>
      <c r="G30" t="s">
        <v>18</v>
      </c>
      <c r="H30" t="s">
        <v>19</v>
      </c>
      <c r="I30" s="15">
        <v>1678.560759</v>
      </c>
      <c r="J30" s="15">
        <v>1627.7015510000001</v>
      </c>
      <c r="K30" s="15">
        <v>9.9733970000000003</v>
      </c>
      <c r="L30" s="15">
        <v>417.07159999999999</v>
      </c>
      <c r="M30" s="15">
        <v>417.07161000000002</v>
      </c>
      <c r="N30" s="15">
        <v>522.42740500000002</v>
      </c>
      <c r="O30" s="10" t="s">
        <v>20</v>
      </c>
      <c r="P30" t="str">
        <f>VLOOKUP($O30,Legend!$H$12:$K$15,2,FALSE)</f>
        <v>Plain</v>
      </c>
      <c r="Q30" t="str">
        <f>VLOOKUP($O30,Legend!$H$12:$K$15,3,FALSE)</f>
        <v>Moderate-high</v>
      </c>
      <c r="R30" s="11">
        <f>VLOOKUP($O30,Legend!$H$12:$K$15,4,FALSE)</f>
        <v>3</v>
      </c>
      <c r="S30" s="10" t="s">
        <v>65</v>
      </c>
      <c r="T30" t="s">
        <v>68</v>
      </c>
      <c r="U30" t="str">
        <f>VLOOKUP($T30,Legend!$A$12:$F$19,2,FALSE)</f>
        <v>Luvic Calcisols</v>
      </c>
      <c r="V30" t="str">
        <f>VLOOKUP($T30,Legend!$A$12:$F$19,3,FALSE)</f>
        <v>Calcisol</v>
      </c>
      <c r="W30" t="str">
        <f>VLOOKUP($T30,Legend!$A$12:$F$19,4,FALSE)</f>
        <v>Calcareous soil with clay accumulation</v>
      </c>
      <c r="X30" t="str">
        <f>VLOOKUP($T30,Legend!$A$12:$F$19,5,FALSE)</f>
        <v>Moderate</v>
      </c>
      <c r="Y30" s="11">
        <f>VLOOKUP($T30,Legend!$A$12:$F$19,6,FALSE)</f>
        <v>3</v>
      </c>
      <c r="Z30" s="10" t="s">
        <v>191</v>
      </c>
      <c r="AA30" t="s">
        <v>192</v>
      </c>
      <c r="AB30" s="11">
        <v>4</v>
      </c>
      <c r="AC30" t="s">
        <v>83</v>
      </c>
    </row>
    <row r="31" spans="1:31" x14ac:dyDescent="0.25">
      <c r="A31">
        <v>29</v>
      </c>
      <c r="B31">
        <v>72.067999999999998</v>
      </c>
      <c r="C31" t="s">
        <v>72</v>
      </c>
      <c r="D31" s="2">
        <v>624474</v>
      </c>
      <c r="E31" s="2">
        <v>3923879</v>
      </c>
      <c r="F31" s="1" t="s">
        <v>72</v>
      </c>
      <c r="G31" t="s">
        <v>18</v>
      </c>
      <c r="H31" t="s">
        <v>19</v>
      </c>
      <c r="I31" s="15">
        <v>2345.998055</v>
      </c>
      <c r="J31" s="15">
        <v>155.18151800000001</v>
      </c>
      <c r="K31" s="15">
        <v>7.9223559999999997</v>
      </c>
      <c r="L31" s="15">
        <v>64.861699999999999</v>
      </c>
      <c r="M31" s="15">
        <v>64.861689999999996</v>
      </c>
      <c r="N31" s="15">
        <v>191.36531400000001</v>
      </c>
      <c r="O31" s="10" t="s">
        <v>20</v>
      </c>
      <c r="P31" t="str">
        <f>VLOOKUP($O31,Legend!$H$12:$K$15,2,FALSE)</f>
        <v>Plain</v>
      </c>
      <c r="Q31" t="str">
        <f>VLOOKUP($O31,Legend!$H$12:$K$15,3,FALSE)</f>
        <v>Moderate-high</v>
      </c>
      <c r="R31" s="11">
        <f>VLOOKUP($O31,Legend!$H$12:$K$15,4,FALSE)</f>
        <v>3</v>
      </c>
      <c r="S31" s="10" t="s">
        <v>65</v>
      </c>
      <c r="T31" t="s">
        <v>68</v>
      </c>
      <c r="U31" t="str">
        <f>VLOOKUP($T31,Legend!$A$12:$F$19,2,FALSE)</f>
        <v>Luvic Calcisols</v>
      </c>
      <c r="V31" t="str">
        <f>VLOOKUP($T31,Legend!$A$12:$F$19,3,FALSE)</f>
        <v>Calcisol</v>
      </c>
      <c r="W31" t="str">
        <f>VLOOKUP($T31,Legend!$A$12:$F$19,4,FALSE)</f>
        <v>Calcareous soil with clay accumulation</v>
      </c>
      <c r="X31" t="str">
        <f>VLOOKUP($T31,Legend!$A$12:$F$19,5,FALSE)</f>
        <v>Moderate</v>
      </c>
      <c r="Y31" s="11">
        <f>VLOOKUP($T31,Legend!$A$12:$F$19,6,FALSE)</f>
        <v>3</v>
      </c>
      <c r="Z31" s="10" t="s">
        <v>191</v>
      </c>
      <c r="AA31" t="s">
        <v>192</v>
      </c>
      <c r="AB31" s="11">
        <v>4</v>
      </c>
      <c r="AC31" t="s">
        <v>84</v>
      </c>
    </row>
    <row r="32" spans="1:31" x14ac:dyDescent="0.25">
      <c r="A32">
        <v>30</v>
      </c>
      <c r="B32">
        <v>72.087000000000003</v>
      </c>
      <c r="C32" t="s">
        <v>72</v>
      </c>
      <c r="D32" s="2">
        <v>607231</v>
      </c>
      <c r="E32" s="2">
        <v>3922823</v>
      </c>
      <c r="F32">
        <v>4.5</v>
      </c>
      <c r="G32" t="s">
        <v>18</v>
      </c>
      <c r="H32" t="s">
        <v>19</v>
      </c>
      <c r="I32" s="15">
        <v>3651.4051789999999</v>
      </c>
      <c r="J32" s="15">
        <v>641.81158900000003</v>
      </c>
      <c r="K32" s="15">
        <v>680.61402799999996</v>
      </c>
      <c r="L32" s="15">
        <v>680.61404500000003</v>
      </c>
      <c r="M32" s="15">
        <v>680.61402799999996</v>
      </c>
      <c r="N32" s="15">
        <v>692.33265300000005</v>
      </c>
      <c r="O32" s="10" t="s">
        <v>20</v>
      </c>
      <c r="P32" t="str">
        <f>VLOOKUP($O32,Legend!$H$12:$K$15,2,FALSE)</f>
        <v>Plain</v>
      </c>
      <c r="Q32" t="str">
        <f>VLOOKUP($O32,Legend!$H$12:$K$15,3,FALSE)</f>
        <v>Moderate-high</v>
      </c>
      <c r="R32" s="11">
        <f>VLOOKUP($O32,Legend!$H$12:$K$15,4,FALSE)</f>
        <v>3</v>
      </c>
      <c r="S32" s="10" t="s">
        <v>65</v>
      </c>
      <c r="T32" t="s">
        <v>68</v>
      </c>
      <c r="U32" t="str">
        <f>VLOOKUP($T32,Legend!$A$12:$F$19,2,FALSE)</f>
        <v>Luvic Calcisols</v>
      </c>
      <c r="V32" t="str">
        <f>VLOOKUP($T32,Legend!$A$12:$F$19,3,FALSE)</f>
        <v>Calcisol</v>
      </c>
      <c r="W32" t="str">
        <f>VLOOKUP($T32,Legend!$A$12:$F$19,4,FALSE)</f>
        <v>Calcareous soil with clay accumulation</v>
      </c>
      <c r="X32" t="str">
        <f>VLOOKUP($T32,Legend!$A$12:$F$19,5,FALSE)</f>
        <v>Moderate</v>
      </c>
      <c r="Y32" s="11">
        <f>VLOOKUP($T32,Legend!$A$12:$F$19,6,FALSE)</f>
        <v>3</v>
      </c>
      <c r="Z32" s="10" t="s">
        <v>193</v>
      </c>
      <c r="AA32" t="s">
        <v>195</v>
      </c>
      <c r="AB32" s="11">
        <v>3</v>
      </c>
      <c r="AC32" t="s">
        <v>85</v>
      </c>
    </row>
    <row r="33" spans="1:29" x14ac:dyDescent="0.25">
      <c r="A33">
        <v>31</v>
      </c>
      <c r="B33">
        <v>72.114000000000004</v>
      </c>
      <c r="C33" t="s">
        <v>72</v>
      </c>
      <c r="D33" s="2">
        <v>613398</v>
      </c>
      <c r="E33" s="2">
        <v>3921128</v>
      </c>
      <c r="F33">
        <v>9</v>
      </c>
      <c r="G33" t="s">
        <v>18</v>
      </c>
      <c r="H33" t="s">
        <v>19</v>
      </c>
      <c r="I33" s="15">
        <v>2610.1004640000001</v>
      </c>
      <c r="J33" s="15">
        <v>882.23557800000003</v>
      </c>
      <c r="K33" s="15">
        <v>140.00548800000001</v>
      </c>
      <c r="L33" s="15">
        <v>140.00550000000001</v>
      </c>
      <c r="M33" s="15">
        <v>140.00548800000001</v>
      </c>
      <c r="N33" s="15">
        <v>140.00548800000001</v>
      </c>
      <c r="O33" s="10" t="s">
        <v>20</v>
      </c>
      <c r="P33" t="str">
        <f>VLOOKUP($O33,Legend!$H$12:$K$15,2,FALSE)</f>
        <v>Plain</v>
      </c>
      <c r="Q33" t="str">
        <f>VLOOKUP($O33,Legend!$H$12:$K$15,3,FALSE)</f>
        <v>Moderate-high</v>
      </c>
      <c r="R33" s="11">
        <f>VLOOKUP($O33,Legend!$H$12:$K$15,4,FALSE)</f>
        <v>3</v>
      </c>
      <c r="S33" s="10" t="s">
        <v>36</v>
      </c>
      <c r="T33" t="s">
        <v>66</v>
      </c>
      <c r="U33" t="str">
        <f>VLOOKUP($T33,Legend!$A$12:$F$19,2,FALSE)</f>
        <v>Petric Calcisols</v>
      </c>
      <c r="V33" t="str">
        <f>VLOOKUP($T33,Legend!$A$12:$F$19,3,FALSE)</f>
        <v>Calcisol</v>
      </c>
      <c r="W33" t="str">
        <f>VLOOKUP($T33,Legend!$A$12:$F$19,4,FALSE)</f>
        <v>Petrocalcic hardpan / restricted rooting</v>
      </c>
      <c r="X33" t="str">
        <f>VLOOKUP($T33,Legend!$A$12:$F$19,5,FALSE)</f>
        <v>Low</v>
      </c>
      <c r="Y33" s="11">
        <f>VLOOKUP($T33,Legend!$A$12:$F$19,6,FALSE)</f>
        <v>2</v>
      </c>
      <c r="Z33" s="10" t="s">
        <v>193</v>
      </c>
      <c r="AA33" t="s">
        <v>195</v>
      </c>
      <c r="AB33" s="11">
        <v>3</v>
      </c>
      <c r="AC33" t="s">
        <v>86</v>
      </c>
    </row>
    <row r="34" spans="1:29" x14ac:dyDescent="0.25">
      <c r="A34">
        <v>32</v>
      </c>
      <c r="B34">
        <v>72.072999999999993</v>
      </c>
      <c r="C34" t="s">
        <v>72</v>
      </c>
      <c r="D34" s="2">
        <v>620730</v>
      </c>
      <c r="E34" s="2">
        <v>3923145</v>
      </c>
      <c r="F34">
        <v>4</v>
      </c>
      <c r="G34" t="s">
        <v>44</v>
      </c>
      <c r="H34" t="s">
        <v>19</v>
      </c>
      <c r="I34" s="15">
        <v>2612.831803</v>
      </c>
      <c r="J34" s="15">
        <v>2426.398267</v>
      </c>
      <c r="K34" s="15">
        <v>220.890894</v>
      </c>
      <c r="L34" s="15">
        <v>221.08400900000001</v>
      </c>
      <c r="M34" s="15">
        <v>401.33071999999999</v>
      </c>
      <c r="N34" s="15">
        <v>1891.7010640000001</v>
      </c>
      <c r="O34" s="10" t="s">
        <v>20</v>
      </c>
      <c r="P34" t="str">
        <f>VLOOKUP($O34,Legend!$H$12:$K$15,2,FALSE)</f>
        <v>Plain</v>
      </c>
      <c r="Q34" t="str">
        <f>VLOOKUP($O34,Legend!$H$12:$K$15,3,FALSE)</f>
        <v>Moderate-high</v>
      </c>
      <c r="R34" s="11">
        <f>VLOOKUP($O34,Legend!$H$12:$K$15,4,FALSE)</f>
        <v>3</v>
      </c>
      <c r="S34" s="10" t="s">
        <v>36</v>
      </c>
      <c r="T34" t="s">
        <v>66</v>
      </c>
      <c r="U34" t="str">
        <f>VLOOKUP($T34,Legend!$A$12:$F$19,2,FALSE)</f>
        <v>Petric Calcisols</v>
      </c>
      <c r="V34" t="str">
        <f>VLOOKUP($T34,Legend!$A$12:$F$19,3,FALSE)</f>
        <v>Calcisol</v>
      </c>
      <c r="W34" t="str">
        <f>VLOOKUP($T34,Legend!$A$12:$F$19,4,FALSE)</f>
        <v>Petrocalcic hardpan / restricted rooting</v>
      </c>
      <c r="X34" t="str">
        <f>VLOOKUP($T34,Legend!$A$12:$F$19,5,FALSE)</f>
        <v>Low</v>
      </c>
      <c r="Y34" s="11">
        <f>VLOOKUP($T34,Legend!$A$12:$F$19,6,FALSE)</f>
        <v>2</v>
      </c>
      <c r="Z34" s="10" t="s">
        <v>191</v>
      </c>
      <c r="AA34" t="s">
        <v>192</v>
      </c>
      <c r="AB34" s="11">
        <v>4</v>
      </c>
      <c r="AC34" t="s">
        <v>87</v>
      </c>
    </row>
    <row r="35" spans="1:29" x14ac:dyDescent="0.25">
      <c r="A35">
        <v>33</v>
      </c>
      <c r="B35">
        <v>72.063999999999993</v>
      </c>
      <c r="C35" t="s">
        <v>88</v>
      </c>
      <c r="D35" s="2">
        <v>614120</v>
      </c>
      <c r="E35" s="2">
        <v>3924185</v>
      </c>
      <c r="F35">
        <v>0.65</v>
      </c>
      <c r="G35" t="s">
        <v>44</v>
      </c>
      <c r="H35" t="s">
        <v>45</v>
      </c>
      <c r="I35" s="15">
        <v>1411.4526659999999</v>
      </c>
      <c r="J35" s="15">
        <v>2221.124323</v>
      </c>
      <c r="K35" s="15">
        <v>237.69032100000001</v>
      </c>
      <c r="L35" s="15">
        <v>237.690316</v>
      </c>
      <c r="M35" s="15">
        <v>237.69032100000001</v>
      </c>
      <c r="N35" s="15">
        <v>496.84417000000002</v>
      </c>
      <c r="O35" s="10" t="s">
        <v>20</v>
      </c>
      <c r="P35" t="str">
        <f>VLOOKUP($O35,Legend!$H$12:$K$15,2,FALSE)</f>
        <v>Plain</v>
      </c>
      <c r="Q35" t="str">
        <f>VLOOKUP($O35,Legend!$H$12:$K$15,3,FALSE)</f>
        <v>Moderate-high</v>
      </c>
      <c r="R35" s="11">
        <f>VLOOKUP($O35,Legend!$H$12:$K$15,4,FALSE)</f>
        <v>3</v>
      </c>
      <c r="S35" s="10" t="s">
        <v>36</v>
      </c>
      <c r="T35" t="s">
        <v>66</v>
      </c>
      <c r="U35" t="str">
        <f>VLOOKUP($T35,Legend!$A$12:$F$19,2,FALSE)</f>
        <v>Petric Calcisols</v>
      </c>
      <c r="V35" t="str">
        <f>VLOOKUP($T35,Legend!$A$12:$F$19,3,FALSE)</f>
        <v>Calcisol</v>
      </c>
      <c r="W35" t="str">
        <f>VLOOKUP($T35,Legend!$A$12:$F$19,4,FALSE)</f>
        <v>Petrocalcic hardpan / restricted rooting</v>
      </c>
      <c r="X35" t="str">
        <f>VLOOKUP($T35,Legend!$A$12:$F$19,5,FALSE)</f>
        <v>Low</v>
      </c>
      <c r="Y35" s="11">
        <f>VLOOKUP($T35,Legend!$A$12:$F$19,6,FALSE)</f>
        <v>2</v>
      </c>
      <c r="Z35" s="10" t="s">
        <v>191</v>
      </c>
      <c r="AA35" t="s">
        <v>192</v>
      </c>
      <c r="AB35" s="11">
        <v>4</v>
      </c>
      <c r="AC35" t="s">
        <v>89</v>
      </c>
    </row>
    <row r="36" spans="1:29" x14ac:dyDescent="0.25">
      <c r="A36">
        <v>34</v>
      </c>
      <c r="B36">
        <v>72.128</v>
      </c>
      <c r="C36" t="s">
        <v>90</v>
      </c>
      <c r="D36" s="2">
        <v>619909</v>
      </c>
      <c r="E36" s="2">
        <v>3919987</v>
      </c>
      <c r="F36">
        <v>1</v>
      </c>
      <c r="G36" t="s">
        <v>44</v>
      </c>
      <c r="H36" t="s">
        <v>45</v>
      </c>
      <c r="I36" s="15">
        <v>2554.9111859999998</v>
      </c>
      <c r="J36" s="15">
        <v>799.03082700000004</v>
      </c>
      <c r="K36" s="15">
        <v>578.79273899999998</v>
      </c>
      <c r="L36" s="15">
        <v>664.71146999999996</v>
      </c>
      <c r="M36" s="15">
        <v>1065.6353389999999</v>
      </c>
      <c r="N36" s="15">
        <v>1119.4708330000001</v>
      </c>
      <c r="O36" s="10" t="s">
        <v>20</v>
      </c>
      <c r="P36" t="str">
        <f>VLOOKUP($O36,Legend!$H$12:$K$15,2,FALSE)</f>
        <v>Plain</v>
      </c>
      <c r="Q36" t="str">
        <f>VLOOKUP($O36,Legend!$H$12:$K$15,3,FALSE)</f>
        <v>Moderate-high</v>
      </c>
      <c r="R36" s="11">
        <f>VLOOKUP($O36,Legend!$H$12:$K$15,4,FALSE)</f>
        <v>3</v>
      </c>
      <c r="S36" s="10" t="s">
        <v>65</v>
      </c>
      <c r="T36" t="s">
        <v>68</v>
      </c>
      <c r="U36" t="str">
        <f>VLOOKUP($T36,Legend!$A$12:$F$19,2,FALSE)</f>
        <v>Luvic Calcisols</v>
      </c>
      <c r="V36" t="str">
        <f>VLOOKUP($T36,Legend!$A$12:$F$19,3,FALSE)</f>
        <v>Calcisol</v>
      </c>
      <c r="W36" t="str">
        <f>VLOOKUP($T36,Legend!$A$12:$F$19,4,FALSE)</f>
        <v>Calcareous soil with clay accumulation</v>
      </c>
      <c r="X36" t="str">
        <f>VLOOKUP($T36,Legend!$A$12:$F$19,5,FALSE)</f>
        <v>Moderate</v>
      </c>
      <c r="Y36" s="11">
        <f>VLOOKUP($T36,Legend!$A$12:$F$19,6,FALSE)</f>
        <v>3</v>
      </c>
      <c r="Z36" s="10" t="s">
        <v>191</v>
      </c>
      <c r="AA36" t="s">
        <v>192</v>
      </c>
      <c r="AB36" s="11">
        <v>4</v>
      </c>
      <c r="AC36" t="s">
        <v>91</v>
      </c>
    </row>
    <row r="37" spans="1:29" x14ac:dyDescent="0.25">
      <c r="A37">
        <v>35</v>
      </c>
      <c r="B37">
        <v>72.016999999999996</v>
      </c>
      <c r="C37" t="s">
        <v>92</v>
      </c>
      <c r="D37" s="2">
        <v>616104</v>
      </c>
      <c r="E37" s="2">
        <v>3931454</v>
      </c>
      <c r="F37">
        <v>4</v>
      </c>
      <c r="G37" t="s">
        <v>44</v>
      </c>
      <c r="H37" t="s">
        <v>19</v>
      </c>
      <c r="I37" s="15">
        <v>685.40101400000003</v>
      </c>
      <c r="J37" s="15">
        <v>149.57815199999999</v>
      </c>
      <c r="K37" s="15">
        <v>515.98868400000003</v>
      </c>
      <c r="L37" s="15">
        <v>515.99946999999997</v>
      </c>
      <c r="M37" s="15">
        <v>515.18616299999996</v>
      </c>
      <c r="N37" s="15">
        <v>1427.0421570000001</v>
      </c>
      <c r="O37" s="10" t="s">
        <v>20</v>
      </c>
      <c r="P37" t="str">
        <f>VLOOKUP($O37,Legend!$H$12:$K$15,2,FALSE)</f>
        <v>Plain</v>
      </c>
      <c r="Q37" t="str">
        <f>VLOOKUP($O37,Legend!$H$12:$K$15,3,FALSE)</f>
        <v>Moderate-high</v>
      </c>
      <c r="R37" s="11">
        <f>VLOOKUP($O37,Legend!$H$12:$K$15,4,FALSE)</f>
        <v>3</v>
      </c>
      <c r="S37" s="10" t="s">
        <v>65</v>
      </c>
      <c r="T37" t="s">
        <v>68</v>
      </c>
      <c r="U37" t="str">
        <f>VLOOKUP($T37,Legend!$A$12:$F$19,2,FALSE)</f>
        <v>Luvic Calcisols</v>
      </c>
      <c r="V37" t="str">
        <f>VLOOKUP($T37,Legend!$A$12:$F$19,3,FALSE)</f>
        <v>Calcisol</v>
      </c>
      <c r="W37" t="str">
        <f>VLOOKUP($T37,Legend!$A$12:$F$19,4,FALSE)</f>
        <v>Calcareous soil with clay accumulation</v>
      </c>
      <c r="X37" t="str">
        <f>VLOOKUP($T37,Legend!$A$12:$F$19,5,FALSE)</f>
        <v>Moderate</v>
      </c>
      <c r="Y37" s="11">
        <f>VLOOKUP($T37,Legend!$A$12:$F$19,6,FALSE)</f>
        <v>3</v>
      </c>
      <c r="Z37" s="10" t="s">
        <v>191</v>
      </c>
      <c r="AA37" t="s">
        <v>192</v>
      </c>
      <c r="AB37" s="11">
        <v>4</v>
      </c>
      <c r="AC37" t="s">
        <v>93</v>
      </c>
    </row>
    <row r="38" spans="1:29" x14ac:dyDescent="0.25">
      <c r="A38">
        <v>36</v>
      </c>
      <c r="B38">
        <v>72.132999999999996</v>
      </c>
      <c r="C38" t="s">
        <v>94</v>
      </c>
      <c r="D38" s="2">
        <v>624864</v>
      </c>
      <c r="E38" s="2">
        <v>3919482</v>
      </c>
      <c r="F38">
        <v>3</v>
      </c>
      <c r="G38" t="s">
        <v>44</v>
      </c>
      <c r="H38" t="s">
        <v>95</v>
      </c>
      <c r="I38" s="15">
        <v>1602.4267520000001</v>
      </c>
      <c r="J38" s="15">
        <v>604.89128800000003</v>
      </c>
      <c r="K38" s="15">
        <v>324.94891000000001</v>
      </c>
      <c r="L38" s="15">
        <v>324.94889999999998</v>
      </c>
      <c r="M38" s="15">
        <v>524.23658</v>
      </c>
      <c r="N38" s="15">
        <v>581.17591400000003</v>
      </c>
      <c r="O38" s="10" t="s">
        <v>20</v>
      </c>
      <c r="P38" t="str">
        <f>VLOOKUP($O38,Legend!$H$12:$K$15,2,FALSE)</f>
        <v>Plain</v>
      </c>
      <c r="Q38" t="str">
        <f>VLOOKUP($O38,Legend!$H$12:$K$15,3,FALSE)</f>
        <v>Moderate-high</v>
      </c>
      <c r="R38" s="11">
        <f>VLOOKUP($O38,Legend!$H$12:$K$15,4,FALSE)</f>
        <v>3</v>
      </c>
      <c r="S38" s="10" t="s">
        <v>65</v>
      </c>
      <c r="T38" t="s">
        <v>68</v>
      </c>
      <c r="U38" t="str">
        <f>VLOOKUP($T38,Legend!$A$12:$F$19,2,FALSE)</f>
        <v>Luvic Calcisols</v>
      </c>
      <c r="V38" t="str">
        <f>VLOOKUP($T38,Legend!$A$12:$F$19,3,FALSE)</f>
        <v>Calcisol</v>
      </c>
      <c r="W38" t="str">
        <f>VLOOKUP($T38,Legend!$A$12:$F$19,4,FALSE)</f>
        <v>Calcareous soil with clay accumulation</v>
      </c>
      <c r="X38" t="str">
        <f>VLOOKUP($T38,Legend!$A$12:$F$19,5,FALSE)</f>
        <v>Moderate</v>
      </c>
      <c r="Y38" s="11">
        <f>VLOOKUP($T38,Legend!$A$12:$F$19,6,FALSE)</f>
        <v>3</v>
      </c>
      <c r="Z38" s="10" t="s">
        <v>191</v>
      </c>
      <c r="AA38" t="s">
        <v>192</v>
      </c>
      <c r="AB38" s="11">
        <v>4</v>
      </c>
      <c r="AC38" t="s">
        <v>96</v>
      </c>
    </row>
    <row r="39" spans="1:29" x14ac:dyDescent="0.25">
      <c r="A39">
        <v>37</v>
      </c>
      <c r="B39">
        <v>64.054000000000002</v>
      </c>
      <c r="C39" t="s">
        <v>97</v>
      </c>
      <c r="D39" s="2">
        <v>626224</v>
      </c>
      <c r="E39" s="2">
        <v>3945999</v>
      </c>
      <c r="F39" s="1">
        <v>0.5</v>
      </c>
      <c r="G39" t="s">
        <v>18</v>
      </c>
      <c r="H39" t="s">
        <v>45</v>
      </c>
      <c r="I39" s="15">
        <v>1099.571314</v>
      </c>
      <c r="J39" s="15">
        <v>4892.3428199999998</v>
      </c>
      <c r="K39" s="15">
        <v>241.72188800000001</v>
      </c>
      <c r="L39" s="15">
        <v>241.72190000000001</v>
      </c>
      <c r="M39" s="15">
        <v>241.72188800000001</v>
      </c>
      <c r="N39" s="15">
        <v>814.46146199999998</v>
      </c>
      <c r="O39" s="10" t="s">
        <v>98</v>
      </c>
      <c r="P39" t="str">
        <f>VLOOKUP($O39,Legend!$H$12:$K$15,2,FALSE)</f>
        <v>Depression</v>
      </c>
      <c r="Q39" t="str">
        <f>VLOOKUP($O39,Legend!$H$12:$K$15,3,FALSE)</f>
        <v>Low-moderate</v>
      </c>
      <c r="R39" s="11">
        <f>VLOOKUP($O39,Legend!$H$12:$K$15,4,FALSE)</f>
        <v>2</v>
      </c>
      <c r="S39" s="10" t="s">
        <v>79</v>
      </c>
      <c r="T39" t="s">
        <v>80</v>
      </c>
      <c r="U39" t="str">
        <f>VLOOKUP($T39,Legend!$A$12:$F$19,2,FALSE)</f>
        <v>Calcic Solonetz</v>
      </c>
      <c r="V39" t="str">
        <f>VLOOKUP($T39,Legend!$A$12:$F$19,3,FALSE)</f>
        <v>Solonetz</v>
      </c>
      <c r="W39" t="str">
        <f>VLOOKUP($T39,Legend!$A$12:$F$19,4,FALSE)</f>
        <v>Sodicity / structural constraint</v>
      </c>
      <c r="X39" t="str">
        <f>VLOOKUP($T39,Legend!$A$12:$F$19,5,FALSE)</f>
        <v>Very low</v>
      </c>
      <c r="Y39" s="11">
        <f>VLOOKUP($T39,Legend!$A$12:$F$19,6,FALSE)</f>
        <v>1</v>
      </c>
      <c r="Z39" s="10" t="s">
        <v>191</v>
      </c>
      <c r="AA39" t="s">
        <v>192</v>
      </c>
      <c r="AB39" s="11">
        <v>4</v>
      </c>
      <c r="AC39" t="s">
        <v>99</v>
      </c>
    </row>
    <row r="40" spans="1:29" x14ac:dyDescent="0.25">
      <c r="A40">
        <v>38</v>
      </c>
      <c r="B40">
        <v>64.055000000000007</v>
      </c>
      <c r="C40" t="s">
        <v>100</v>
      </c>
      <c r="D40" s="2">
        <v>626124</v>
      </c>
      <c r="E40" s="2">
        <v>3945898</v>
      </c>
      <c r="F40" s="1" t="s">
        <v>72</v>
      </c>
      <c r="G40" t="s">
        <v>18</v>
      </c>
      <c r="H40" t="s">
        <v>45</v>
      </c>
      <c r="I40" s="15">
        <v>1185.455017</v>
      </c>
      <c r="J40" s="15">
        <v>4905.2555700000003</v>
      </c>
      <c r="K40" s="15">
        <v>140.79998800000001</v>
      </c>
      <c r="L40" s="15">
        <v>140.80000000000001</v>
      </c>
      <c r="M40" s="15">
        <v>140.79998800000001</v>
      </c>
      <c r="N40" s="15">
        <v>800.31357500000001</v>
      </c>
      <c r="O40" s="10" t="s">
        <v>98</v>
      </c>
      <c r="P40" t="str">
        <f>VLOOKUP($O40,Legend!$H$12:$K$15,2,FALSE)</f>
        <v>Depression</v>
      </c>
      <c r="Q40" t="str">
        <f>VLOOKUP($O40,Legend!$H$12:$K$15,3,FALSE)</f>
        <v>Low-moderate</v>
      </c>
      <c r="R40" s="11">
        <f>VLOOKUP($O40,Legend!$H$12:$K$15,4,FALSE)</f>
        <v>2</v>
      </c>
      <c r="S40" s="10" t="s">
        <v>79</v>
      </c>
      <c r="T40" t="s">
        <v>80</v>
      </c>
      <c r="U40" t="str">
        <f>VLOOKUP($T40,Legend!$A$12:$F$19,2,FALSE)</f>
        <v>Calcic Solonetz</v>
      </c>
      <c r="V40" t="str">
        <f>VLOOKUP($T40,Legend!$A$12:$F$19,3,FALSE)</f>
        <v>Solonetz</v>
      </c>
      <c r="W40" t="str">
        <f>VLOOKUP($T40,Legend!$A$12:$F$19,4,FALSE)</f>
        <v>Sodicity / structural constraint</v>
      </c>
      <c r="X40" t="str">
        <f>VLOOKUP($T40,Legend!$A$12:$F$19,5,FALSE)</f>
        <v>Very low</v>
      </c>
      <c r="Y40" s="11">
        <f>VLOOKUP($T40,Legend!$A$12:$F$19,6,FALSE)</f>
        <v>1</v>
      </c>
      <c r="Z40" s="10" t="s">
        <v>191</v>
      </c>
      <c r="AA40" t="s">
        <v>192</v>
      </c>
      <c r="AB40" s="11">
        <v>4</v>
      </c>
      <c r="AC40" t="s">
        <v>101</v>
      </c>
    </row>
    <row r="41" spans="1:29" x14ac:dyDescent="0.25">
      <c r="A41">
        <v>39</v>
      </c>
      <c r="B41">
        <v>64.061000000000007</v>
      </c>
      <c r="C41" t="s">
        <v>102</v>
      </c>
      <c r="D41" s="2">
        <v>629016</v>
      </c>
      <c r="E41" s="2">
        <v>3946924</v>
      </c>
      <c r="F41" s="1" t="s">
        <v>72</v>
      </c>
      <c r="G41" t="s">
        <v>18</v>
      </c>
      <c r="H41" t="s">
        <v>45</v>
      </c>
      <c r="I41" s="15">
        <v>662.74131499999999</v>
      </c>
      <c r="J41" s="15">
        <v>5006.3353159999997</v>
      </c>
      <c r="K41" s="15">
        <v>47.121752999999998</v>
      </c>
      <c r="L41" s="15">
        <v>47.121771000000003</v>
      </c>
      <c r="M41" s="15">
        <v>47.121752999999998</v>
      </c>
      <c r="N41" s="15">
        <v>47.121752999999998</v>
      </c>
      <c r="O41" s="10" t="s">
        <v>20</v>
      </c>
      <c r="P41" t="str">
        <f>VLOOKUP($O41,Legend!$H$12:$K$15,2,FALSE)</f>
        <v>Plain</v>
      </c>
      <c r="Q41" t="str">
        <f>VLOOKUP($O41,Legend!$H$12:$K$15,3,FALSE)</f>
        <v>Moderate-high</v>
      </c>
      <c r="R41" s="11">
        <f>VLOOKUP($O41,Legend!$H$12:$K$15,4,FALSE)</f>
        <v>3</v>
      </c>
      <c r="S41" s="10" t="s">
        <v>65</v>
      </c>
      <c r="T41" t="s">
        <v>68</v>
      </c>
      <c r="U41" t="str">
        <f>VLOOKUP($T41,Legend!$A$12:$F$19,2,FALSE)</f>
        <v>Luvic Calcisols</v>
      </c>
      <c r="V41" t="str">
        <f>VLOOKUP($T41,Legend!$A$12:$F$19,3,FALSE)</f>
        <v>Calcisol</v>
      </c>
      <c r="W41" t="str">
        <f>VLOOKUP($T41,Legend!$A$12:$F$19,4,FALSE)</f>
        <v>Calcareous soil with clay accumulation</v>
      </c>
      <c r="X41" t="str">
        <f>VLOOKUP($T41,Legend!$A$12:$F$19,5,FALSE)</f>
        <v>Moderate</v>
      </c>
      <c r="Y41" s="11">
        <f>VLOOKUP($T41,Legend!$A$12:$F$19,6,FALSE)</f>
        <v>3</v>
      </c>
      <c r="Z41" s="10" t="s">
        <v>191</v>
      </c>
      <c r="AA41" t="s">
        <v>192</v>
      </c>
      <c r="AB41" s="11">
        <v>4</v>
      </c>
      <c r="AC41" t="s">
        <v>103</v>
      </c>
    </row>
    <row r="42" spans="1:29" x14ac:dyDescent="0.25">
      <c r="A42">
        <v>40</v>
      </c>
      <c r="B42">
        <v>64.061999999999998</v>
      </c>
      <c r="C42" t="s">
        <v>104</v>
      </c>
      <c r="D42" s="2">
        <v>628913</v>
      </c>
      <c r="E42" s="2">
        <v>3947174</v>
      </c>
      <c r="F42" s="1" t="s">
        <v>72</v>
      </c>
      <c r="G42" t="s">
        <v>18</v>
      </c>
      <c r="H42" t="s">
        <v>45</v>
      </c>
      <c r="I42" s="15">
        <v>496.58697999999998</v>
      </c>
      <c r="J42" s="15">
        <v>4738.2769060000001</v>
      </c>
      <c r="K42" s="15">
        <v>177.84047100000001</v>
      </c>
      <c r="L42" s="15">
        <v>263.24950000000001</v>
      </c>
      <c r="M42" s="15">
        <v>263.24947200000003</v>
      </c>
      <c r="N42" s="15">
        <v>263.24947200000003</v>
      </c>
      <c r="O42" s="10" t="s">
        <v>20</v>
      </c>
      <c r="P42" t="str">
        <f>VLOOKUP($O42,Legend!$H$12:$K$15,2,FALSE)</f>
        <v>Plain</v>
      </c>
      <c r="Q42" t="str">
        <f>VLOOKUP($O42,Legend!$H$12:$K$15,3,FALSE)</f>
        <v>Moderate-high</v>
      </c>
      <c r="R42" s="11">
        <f>VLOOKUP($O42,Legend!$H$12:$K$15,4,FALSE)</f>
        <v>3</v>
      </c>
      <c r="S42" s="10" t="s">
        <v>65</v>
      </c>
      <c r="T42" t="s">
        <v>68</v>
      </c>
      <c r="U42" t="str">
        <f>VLOOKUP($T42,Legend!$A$12:$F$19,2,FALSE)</f>
        <v>Luvic Calcisols</v>
      </c>
      <c r="V42" t="str">
        <f>VLOOKUP($T42,Legend!$A$12:$F$19,3,FALSE)</f>
        <v>Calcisol</v>
      </c>
      <c r="W42" t="str">
        <f>VLOOKUP($T42,Legend!$A$12:$F$19,4,FALSE)</f>
        <v>Calcareous soil with clay accumulation</v>
      </c>
      <c r="X42" t="str">
        <f>VLOOKUP($T42,Legend!$A$12:$F$19,5,FALSE)</f>
        <v>Moderate</v>
      </c>
      <c r="Y42" s="11">
        <f>VLOOKUP($T42,Legend!$A$12:$F$19,6,FALSE)</f>
        <v>3</v>
      </c>
      <c r="Z42" s="10" t="s">
        <v>191</v>
      </c>
      <c r="AA42" t="s">
        <v>192</v>
      </c>
      <c r="AB42" s="11">
        <v>4</v>
      </c>
      <c r="AC42" t="s">
        <v>105</v>
      </c>
    </row>
    <row r="43" spans="1:29" x14ac:dyDescent="0.25">
      <c r="A43">
        <v>41</v>
      </c>
      <c r="B43">
        <v>64.075999999999993</v>
      </c>
      <c r="C43" t="s">
        <v>72</v>
      </c>
      <c r="D43" s="2">
        <v>608604</v>
      </c>
      <c r="E43" s="2">
        <v>3936837</v>
      </c>
      <c r="F43" s="1">
        <v>1</v>
      </c>
      <c r="G43" t="s">
        <v>18</v>
      </c>
      <c r="H43" t="s">
        <v>45</v>
      </c>
      <c r="I43" s="15">
        <v>1270.2260100000001</v>
      </c>
      <c r="J43" s="15">
        <v>114.765688</v>
      </c>
      <c r="K43" s="15">
        <v>870.02195700000004</v>
      </c>
      <c r="L43" s="15">
        <v>870.02195300000005</v>
      </c>
      <c r="M43" s="15">
        <v>891.07047799999998</v>
      </c>
      <c r="N43" s="15">
        <v>2894.9376000000002</v>
      </c>
      <c r="O43" s="10" t="s">
        <v>20</v>
      </c>
      <c r="P43" t="str">
        <f>VLOOKUP($O43,Legend!$H$12:$K$15,2,FALSE)</f>
        <v>Plain</v>
      </c>
      <c r="Q43" t="str">
        <f>VLOOKUP($O43,Legend!$H$12:$K$15,3,FALSE)</f>
        <v>Moderate-high</v>
      </c>
      <c r="R43" s="11">
        <f>VLOOKUP($O43,Legend!$H$12:$K$15,4,FALSE)</f>
        <v>3</v>
      </c>
      <c r="S43" s="10" t="s">
        <v>65</v>
      </c>
      <c r="T43" t="s">
        <v>68</v>
      </c>
      <c r="U43" t="str">
        <f>VLOOKUP($T43,Legend!$A$12:$F$19,2,FALSE)</f>
        <v>Luvic Calcisols</v>
      </c>
      <c r="V43" t="str">
        <f>VLOOKUP($T43,Legend!$A$12:$F$19,3,FALSE)</f>
        <v>Calcisol</v>
      </c>
      <c r="W43" t="str">
        <f>VLOOKUP($T43,Legend!$A$12:$F$19,4,FALSE)</f>
        <v>Calcareous soil with clay accumulation</v>
      </c>
      <c r="X43" t="str">
        <f>VLOOKUP($T43,Legend!$A$12:$F$19,5,FALSE)</f>
        <v>Moderate</v>
      </c>
      <c r="Y43" s="11">
        <f>VLOOKUP($T43,Legend!$A$12:$F$19,6,FALSE)</f>
        <v>3</v>
      </c>
      <c r="Z43" s="10" t="s">
        <v>191</v>
      </c>
      <c r="AA43" t="s">
        <v>192</v>
      </c>
      <c r="AB43" s="11">
        <v>4</v>
      </c>
      <c r="AC43" t="s">
        <v>106</v>
      </c>
    </row>
    <row r="44" spans="1:29" x14ac:dyDescent="0.25">
      <c r="A44">
        <v>42</v>
      </c>
      <c r="B44">
        <v>64.007000000000005</v>
      </c>
      <c r="C44" t="s">
        <v>107</v>
      </c>
      <c r="D44" s="2">
        <v>618258</v>
      </c>
      <c r="E44" s="2">
        <v>3953077</v>
      </c>
      <c r="F44" s="1">
        <v>4</v>
      </c>
      <c r="G44" t="s">
        <v>18</v>
      </c>
      <c r="H44" t="s">
        <v>19</v>
      </c>
      <c r="I44" s="15">
        <v>2256.0120489999999</v>
      </c>
      <c r="J44" s="15">
        <v>3961.3570049999998</v>
      </c>
      <c r="K44" s="15">
        <v>397.724785</v>
      </c>
      <c r="L44" s="15">
        <v>397.72481399999998</v>
      </c>
      <c r="M44" s="15">
        <v>397.724785</v>
      </c>
      <c r="N44" s="15">
        <v>666.55638599999997</v>
      </c>
      <c r="O44" s="10" t="s">
        <v>20</v>
      </c>
      <c r="P44" t="str">
        <f>VLOOKUP($O44,Legend!$H$12:$K$15,2,FALSE)</f>
        <v>Plain</v>
      </c>
      <c r="Q44" t="str">
        <f>VLOOKUP($O44,Legend!$H$12:$K$15,3,FALSE)</f>
        <v>Moderate-high</v>
      </c>
      <c r="R44" s="11">
        <f>VLOOKUP($O44,Legend!$H$12:$K$15,4,FALSE)</f>
        <v>3</v>
      </c>
      <c r="S44" s="10" t="s">
        <v>79</v>
      </c>
      <c r="T44" t="s">
        <v>80</v>
      </c>
      <c r="U44" t="str">
        <f>VLOOKUP($T44,Legend!$A$12:$F$19,2,FALSE)</f>
        <v>Calcic Solonetz</v>
      </c>
      <c r="V44" t="str">
        <f>VLOOKUP($T44,Legend!$A$12:$F$19,3,FALSE)</f>
        <v>Solonetz</v>
      </c>
      <c r="W44" t="str">
        <f>VLOOKUP($T44,Legend!$A$12:$F$19,4,FALSE)</f>
        <v>Sodicity / structural constraint</v>
      </c>
      <c r="X44" t="str">
        <f>VLOOKUP($T44,Legend!$A$12:$F$19,5,FALSE)</f>
        <v>Very low</v>
      </c>
      <c r="Y44" s="11">
        <f>VLOOKUP($T44,Legend!$A$12:$F$19,6,FALSE)</f>
        <v>1</v>
      </c>
      <c r="Z44" s="10" t="s">
        <v>191</v>
      </c>
      <c r="AA44" t="s">
        <v>192</v>
      </c>
      <c r="AB44" s="11">
        <v>4</v>
      </c>
      <c r="AC44" t="s">
        <v>108</v>
      </c>
    </row>
    <row r="45" spans="1:29" x14ac:dyDescent="0.25">
      <c r="A45">
        <v>43</v>
      </c>
      <c r="B45">
        <v>64.072999999999993</v>
      </c>
      <c r="C45" t="s">
        <v>109</v>
      </c>
      <c r="D45" s="2">
        <v>607945</v>
      </c>
      <c r="E45" s="2">
        <v>3937831</v>
      </c>
      <c r="F45" s="1">
        <v>3</v>
      </c>
      <c r="G45" t="s">
        <v>18</v>
      </c>
      <c r="H45" t="s">
        <v>19</v>
      </c>
      <c r="I45" s="15">
        <v>2189.7260759999999</v>
      </c>
      <c r="J45" s="15">
        <v>148.106099</v>
      </c>
      <c r="K45" s="15">
        <v>951.010266</v>
      </c>
      <c r="L45" s="15">
        <v>1893.642646</v>
      </c>
      <c r="M45" s="15">
        <v>2012.1977649999999</v>
      </c>
      <c r="N45" s="15">
        <v>2579.3072080000002</v>
      </c>
      <c r="O45" s="10" t="s">
        <v>20</v>
      </c>
      <c r="P45" t="str">
        <f>VLOOKUP($O45,Legend!$H$12:$K$15,2,FALSE)</f>
        <v>Plain</v>
      </c>
      <c r="Q45" t="str">
        <f>VLOOKUP($O45,Legend!$H$12:$K$15,3,FALSE)</f>
        <v>Moderate-high</v>
      </c>
      <c r="R45" s="11">
        <f>VLOOKUP($O45,Legend!$H$12:$K$15,4,FALSE)</f>
        <v>3</v>
      </c>
      <c r="S45" s="10" t="s">
        <v>65</v>
      </c>
      <c r="T45" t="s">
        <v>68</v>
      </c>
      <c r="U45" t="str">
        <f>VLOOKUP($T45,Legend!$A$12:$F$19,2,FALSE)</f>
        <v>Luvic Calcisols</v>
      </c>
      <c r="V45" t="str">
        <f>VLOOKUP($T45,Legend!$A$12:$F$19,3,FALSE)</f>
        <v>Calcisol</v>
      </c>
      <c r="W45" t="str">
        <f>VLOOKUP($T45,Legend!$A$12:$F$19,4,FALSE)</f>
        <v>Calcareous soil with clay accumulation</v>
      </c>
      <c r="X45" t="str">
        <f>VLOOKUP($T45,Legend!$A$12:$F$19,5,FALSE)</f>
        <v>Moderate</v>
      </c>
      <c r="Y45" s="11">
        <f>VLOOKUP($T45,Legend!$A$12:$F$19,6,FALSE)</f>
        <v>3</v>
      </c>
      <c r="Z45" s="10" t="s">
        <v>191</v>
      </c>
      <c r="AA45" t="s">
        <v>192</v>
      </c>
      <c r="AB45" s="11">
        <v>4</v>
      </c>
      <c r="AC45" t="s">
        <v>110</v>
      </c>
    </row>
    <row r="46" spans="1:29" x14ac:dyDescent="0.25">
      <c r="A46">
        <v>44</v>
      </c>
      <c r="B46">
        <v>64.025999999999996</v>
      </c>
      <c r="C46" t="s">
        <v>72</v>
      </c>
      <c r="D46" s="2">
        <v>631445</v>
      </c>
      <c r="E46" s="2">
        <v>3954698</v>
      </c>
      <c r="F46" s="1">
        <v>0.6</v>
      </c>
      <c r="G46" t="s">
        <v>44</v>
      </c>
      <c r="H46" t="s">
        <v>45</v>
      </c>
      <c r="I46" s="15">
        <v>3942.482094</v>
      </c>
      <c r="J46" s="15">
        <v>848.02731600000004</v>
      </c>
      <c r="K46" s="15">
        <v>10.993541</v>
      </c>
      <c r="L46" s="15">
        <v>10.993551999999999</v>
      </c>
      <c r="M46" s="15">
        <v>10.993541</v>
      </c>
      <c r="N46" s="15">
        <v>1223.7253800000001</v>
      </c>
      <c r="O46" s="10" t="s">
        <v>20</v>
      </c>
      <c r="P46" t="str">
        <f>VLOOKUP($O46,Legend!$H$12:$K$15,2,FALSE)</f>
        <v>Plain</v>
      </c>
      <c r="Q46" t="str">
        <f>VLOOKUP($O46,Legend!$H$12:$K$15,3,FALSE)</f>
        <v>Moderate-high</v>
      </c>
      <c r="R46" s="11">
        <f>VLOOKUP($O46,Legend!$H$12:$K$15,4,FALSE)</f>
        <v>3</v>
      </c>
      <c r="S46" s="10" t="s">
        <v>79</v>
      </c>
      <c r="T46" t="s">
        <v>80</v>
      </c>
      <c r="U46" t="str">
        <f>VLOOKUP($T46,Legend!$A$12:$F$19,2,FALSE)</f>
        <v>Calcic Solonetz</v>
      </c>
      <c r="V46" t="str">
        <f>VLOOKUP($T46,Legend!$A$12:$F$19,3,FALSE)</f>
        <v>Solonetz</v>
      </c>
      <c r="W46" t="str">
        <f>VLOOKUP($T46,Legend!$A$12:$F$19,4,FALSE)</f>
        <v>Sodicity / structural constraint</v>
      </c>
      <c r="X46" t="str">
        <f>VLOOKUP($T46,Legend!$A$12:$F$19,5,FALSE)</f>
        <v>Very low</v>
      </c>
      <c r="Y46" s="11">
        <f>VLOOKUP($T46,Legend!$A$12:$F$19,6,FALSE)</f>
        <v>1</v>
      </c>
      <c r="Z46" s="10" t="s">
        <v>191</v>
      </c>
      <c r="AA46" t="s">
        <v>192</v>
      </c>
      <c r="AB46" s="11">
        <v>4</v>
      </c>
      <c r="AC46" t="s">
        <v>111</v>
      </c>
    </row>
    <row r="47" spans="1:29" x14ac:dyDescent="0.25">
      <c r="A47">
        <v>45</v>
      </c>
      <c r="B47">
        <v>64.063999999999993</v>
      </c>
      <c r="C47" t="s">
        <v>112</v>
      </c>
      <c r="D47" s="2">
        <v>631112</v>
      </c>
      <c r="E47" s="2">
        <v>3947344</v>
      </c>
      <c r="F47" s="1" t="s">
        <v>72</v>
      </c>
      <c r="G47" t="s">
        <v>44</v>
      </c>
      <c r="H47" t="s">
        <v>45</v>
      </c>
      <c r="I47" s="15">
        <v>2681.1505940000002</v>
      </c>
      <c r="J47" s="15">
        <v>5137.9609129999999</v>
      </c>
      <c r="K47" s="15">
        <v>42.481659999999998</v>
      </c>
      <c r="L47" s="15">
        <v>42.481650999999999</v>
      </c>
      <c r="M47" s="15">
        <v>42.481659999999998</v>
      </c>
      <c r="N47" s="15">
        <v>339.32630999999998</v>
      </c>
      <c r="O47" s="10" t="s">
        <v>20</v>
      </c>
      <c r="P47" t="str">
        <f>VLOOKUP($O47,Legend!$H$12:$K$15,2,FALSE)</f>
        <v>Plain</v>
      </c>
      <c r="Q47" t="str">
        <f>VLOOKUP($O47,Legend!$H$12:$K$15,3,FALSE)</f>
        <v>Moderate-high</v>
      </c>
      <c r="R47" s="11">
        <f>VLOOKUP($O47,Legend!$H$12:$K$15,4,FALSE)</f>
        <v>3</v>
      </c>
      <c r="S47" s="10" t="s">
        <v>79</v>
      </c>
      <c r="T47" t="s">
        <v>80</v>
      </c>
      <c r="U47" t="str">
        <f>VLOOKUP($T47,Legend!$A$12:$F$19,2,FALSE)</f>
        <v>Calcic Solonetz</v>
      </c>
      <c r="V47" t="str">
        <f>VLOOKUP($T47,Legend!$A$12:$F$19,3,FALSE)</f>
        <v>Solonetz</v>
      </c>
      <c r="W47" t="str">
        <f>VLOOKUP($T47,Legend!$A$12:$F$19,4,FALSE)</f>
        <v>Sodicity / structural constraint</v>
      </c>
      <c r="X47" t="str">
        <f>VLOOKUP($T47,Legend!$A$12:$F$19,5,FALSE)</f>
        <v>Very low</v>
      </c>
      <c r="Y47" s="11">
        <f>VLOOKUP($T47,Legend!$A$12:$F$19,6,FALSE)</f>
        <v>1</v>
      </c>
      <c r="Z47" s="10" t="s">
        <v>191</v>
      </c>
      <c r="AA47" t="s">
        <v>192</v>
      </c>
      <c r="AB47" s="11">
        <v>4</v>
      </c>
      <c r="AC47" t="s">
        <v>113</v>
      </c>
    </row>
    <row r="48" spans="1:29" x14ac:dyDescent="0.25">
      <c r="A48">
        <v>46</v>
      </c>
      <c r="B48">
        <v>64.093999999999994</v>
      </c>
      <c r="C48" t="s">
        <v>114</v>
      </c>
      <c r="D48" s="2">
        <v>616176</v>
      </c>
      <c r="E48" s="2">
        <v>3951058</v>
      </c>
      <c r="F48" s="1" t="s">
        <v>72</v>
      </c>
      <c r="G48" t="s">
        <v>44</v>
      </c>
      <c r="H48" t="s">
        <v>45</v>
      </c>
      <c r="I48" s="15">
        <v>2501.6912320000001</v>
      </c>
      <c r="J48" s="15">
        <v>1116.296126</v>
      </c>
      <c r="K48" s="15">
        <v>60.841990000000003</v>
      </c>
      <c r="L48" s="15">
        <v>54.163722999999997</v>
      </c>
      <c r="M48" s="15">
        <v>52.631475000000002</v>
      </c>
      <c r="N48" s="15">
        <v>1734.0653769999999</v>
      </c>
      <c r="O48" s="10" t="s">
        <v>20</v>
      </c>
      <c r="P48" t="str">
        <f>VLOOKUP($O48,Legend!$H$12:$K$15,2,FALSE)</f>
        <v>Plain</v>
      </c>
      <c r="Q48" t="str">
        <f>VLOOKUP($O48,Legend!$H$12:$K$15,3,FALSE)</f>
        <v>Moderate-high</v>
      </c>
      <c r="R48" s="11">
        <f>VLOOKUP($O48,Legend!$H$12:$K$15,4,FALSE)</f>
        <v>3</v>
      </c>
      <c r="S48" s="10" t="s">
        <v>79</v>
      </c>
      <c r="T48" t="s">
        <v>80</v>
      </c>
      <c r="U48" t="str">
        <f>VLOOKUP($T48,Legend!$A$12:$F$19,2,FALSE)</f>
        <v>Calcic Solonetz</v>
      </c>
      <c r="V48" t="str">
        <f>VLOOKUP($T48,Legend!$A$12:$F$19,3,FALSE)</f>
        <v>Solonetz</v>
      </c>
      <c r="W48" t="str">
        <f>VLOOKUP($T48,Legend!$A$12:$F$19,4,FALSE)</f>
        <v>Sodicity / structural constraint</v>
      </c>
      <c r="X48" t="str">
        <f>VLOOKUP($T48,Legend!$A$12:$F$19,5,FALSE)</f>
        <v>Very low</v>
      </c>
      <c r="Y48" s="11">
        <f>VLOOKUP($T48,Legend!$A$12:$F$19,6,FALSE)</f>
        <v>1</v>
      </c>
      <c r="Z48" s="10" t="s">
        <v>191</v>
      </c>
      <c r="AA48" t="s">
        <v>192</v>
      </c>
      <c r="AB48" s="11">
        <v>4</v>
      </c>
      <c r="AC48" t="s">
        <v>115</v>
      </c>
    </row>
    <row r="49" spans="1:29" x14ac:dyDescent="0.25">
      <c r="A49">
        <v>47</v>
      </c>
      <c r="B49">
        <v>64.099000000000004</v>
      </c>
      <c r="C49" t="s">
        <v>72</v>
      </c>
      <c r="D49" s="2">
        <v>615346</v>
      </c>
      <c r="E49" s="2">
        <v>3948800</v>
      </c>
      <c r="F49" s="1" t="s">
        <v>72</v>
      </c>
      <c r="G49" t="s">
        <v>44</v>
      </c>
      <c r="H49" t="s">
        <v>45</v>
      </c>
      <c r="I49" s="15">
        <v>1775.3257619999999</v>
      </c>
      <c r="J49" s="15">
        <v>1058.3680420000001</v>
      </c>
      <c r="K49" s="15">
        <v>715.66927599999997</v>
      </c>
      <c r="L49" s="15">
        <v>1014.469078</v>
      </c>
      <c r="M49" s="15">
        <v>1130.3246280000001</v>
      </c>
      <c r="N49" s="15">
        <v>1170.095051</v>
      </c>
      <c r="O49" s="10" t="s">
        <v>20</v>
      </c>
      <c r="P49" t="str">
        <f>VLOOKUP($O49,Legend!$H$12:$K$15,2,FALSE)</f>
        <v>Plain</v>
      </c>
      <c r="Q49" t="str">
        <f>VLOOKUP($O49,Legend!$H$12:$K$15,3,FALSE)</f>
        <v>Moderate-high</v>
      </c>
      <c r="R49" s="11">
        <f>VLOOKUP($O49,Legend!$H$12:$K$15,4,FALSE)</f>
        <v>3</v>
      </c>
      <c r="S49" s="10" t="s">
        <v>79</v>
      </c>
      <c r="T49" t="s">
        <v>80</v>
      </c>
      <c r="U49" t="str">
        <f>VLOOKUP($T49,Legend!$A$12:$F$19,2,FALSE)</f>
        <v>Calcic Solonetz</v>
      </c>
      <c r="V49" t="str">
        <f>VLOOKUP($T49,Legend!$A$12:$F$19,3,FALSE)</f>
        <v>Solonetz</v>
      </c>
      <c r="W49" t="str">
        <f>VLOOKUP($T49,Legend!$A$12:$F$19,4,FALSE)</f>
        <v>Sodicity / structural constraint</v>
      </c>
      <c r="X49" t="str">
        <f>VLOOKUP($T49,Legend!$A$12:$F$19,5,FALSE)</f>
        <v>Very low</v>
      </c>
      <c r="Y49" s="11">
        <f>VLOOKUP($T49,Legend!$A$12:$F$19,6,FALSE)</f>
        <v>1</v>
      </c>
      <c r="Z49" s="10" t="s">
        <v>191</v>
      </c>
      <c r="AA49" t="s">
        <v>192</v>
      </c>
      <c r="AB49" s="11">
        <v>4</v>
      </c>
      <c r="AC49" t="s">
        <v>116</v>
      </c>
    </row>
    <row r="50" spans="1:29" x14ac:dyDescent="0.25">
      <c r="A50">
        <v>48</v>
      </c>
      <c r="B50">
        <v>64.055999999999997</v>
      </c>
      <c r="C50" t="s">
        <v>72</v>
      </c>
      <c r="D50" s="2">
        <v>625878</v>
      </c>
      <c r="E50" s="2">
        <v>3945546</v>
      </c>
      <c r="F50" s="1">
        <v>0.3</v>
      </c>
      <c r="G50" t="s">
        <v>44</v>
      </c>
      <c r="H50" t="s">
        <v>19</v>
      </c>
      <c r="I50" s="15">
        <v>1244.2792690000001</v>
      </c>
      <c r="J50" s="15">
        <v>5014.4193779999996</v>
      </c>
      <c r="K50" s="15">
        <v>211.51501200000001</v>
      </c>
      <c r="L50" s="15">
        <v>211.51499999999999</v>
      </c>
      <c r="M50" s="15">
        <v>211.51501200000001</v>
      </c>
      <c r="N50" s="15">
        <v>838.95599200000004</v>
      </c>
      <c r="O50" s="10" t="s">
        <v>98</v>
      </c>
      <c r="P50" t="str">
        <f>VLOOKUP($O50,Legend!$H$12:$K$15,2,FALSE)</f>
        <v>Depression</v>
      </c>
      <c r="Q50" t="str">
        <f>VLOOKUP($O50,Legend!$H$12:$K$15,3,FALSE)</f>
        <v>Low-moderate</v>
      </c>
      <c r="R50" s="11">
        <f>VLOOKUP($O50,Legend!$H$12:$K$15,4,FALSE)</f>
        <v>2</v>
      </c>
      <c r="S50" s="10" t="s">
        <v>79</v>
      </c>
      <c r="T50" t="s">
        <v>80</v>
      </c>
      <c r="U50" t="str">
        <f>VLOOKUP($T50,Legend!$A$12:$F$19,2,FALSE)</f>
        <v>Calcic Solonetz</v>
      </c>
      <c r="V50" t="str">
        <f>VLOOKUP($T50,Legend!$A$12:$F$19,3,FALSE)</f>
        <v>Solonetz</v>
      </c>
      <c r="W50" t="str">
        <f>VLOOKUP($T50,Legend!$A$12:$F$19,4,FALSE)</f>
        <v>Sodicity / structural constraint</v>
      </c>
      <c r="X50" t="str">
        <f>VLOOKUP($T50,Legend!$A$12:$F$19,5,FALSE)</f>
        <v>Very low</v>
      </c>
      <c r="Y50" s="11">
        <f>VLOOKUP($T50,Legend!$A$12:$F$19,6,FALSE)</f>
        <v>1</v>
      </c>
      <c r="Z50" s="10" t="s">
        <v>191</v>
      </c>
      <c r="AA50" t="s">
        <v>192</v>
      </c>
      <c r="AB50" s="11">
        <v>4</v>
      </c>
      <c r="AC50" t="s">
        <v>117</v>
      </c>
    </row>
    <row r="51" spans="1:29" x14ac:dyDescent="0.25">
      <c r="A51">
        <v>49</v>
      </c>
      <c r="B51">
        <v>64.070999999999998</v>
      </c>
      <c r="C51" t="s">
        <v>118</v>
      </c>
      <c r="D51" s="2">
        <v>607389</v>
      </c>
      <c r="E51" s="2">
        <v>3938526</v>
      </c>
      <c r="F51" s="1">
        <v>0.2</v>
      </c>
      <c r="G51" t="s">
        <v>44</v>
      </c>
      <c r="H51" t="s">
        <v>19</v>
      </c>
      <c r="I51" s="15">
        <v>2073.9736899999998</v>
      </c>
      <c r="J51" s="15">
        <v>256.06470999999999</v>
      </c>
      <c r="K51" s="15">
        <v>255.99156600000001</v>
      </c>
      <c r="L51" s="15">
        <v>1595.3468600000001</v>
      </c>
      <c r="M51" s="15">
        <v>1586.902368</v>
      </c>
      <c r="N51" s="15">
        <v>1993.699024</v>
      </c>
      <c r="O51" s="10" t="s">
        <v>20</v>
      </c>
      <c r="P51" t="str">
        <f>VLOOKUP($O51,Legend!$H$12:$K$15,2,FALSE)</f>
        <v>Plain</v>
      </c>
      <c r="Q51" t="str">
        <f>VLOOKUP($O51,Legend!$H$12:$K$15,3,FALSE)</f>
        <v>Moderate-high</v>
      </c>
      <c r="R51" s="11">
        <f>VLOOKUP($O51,Legend!$H$12:$K$15,4,FALSE)</f>
        <v>3</v>
      </c>
      <c r="S51" s="10" t="s">
        <v>65</v>
      </c>
      <c r="T51" t="s">
        <v>68</v>
      </c>
      <c r="U51" t="str">
        <f>VLOOKUP($T51,Legend!$A$12:$F$19,2,FALSE)</f>
        <v>Luvic Calcisols</v>
      </c>
      <c r="V51" t="str">
        <f>VLOOKUP($T51,Legend!$A$12:$F$19,3,FALSE)</f>
        <v>Calcisol</v>
      </c>
      <c r="W51" t="str">
        <f>VLOOKUP($T51,Legend!$A$12:$F$19,4,FALSE)</f>
        <v>Calcareous soil with clay accumulation</v>
      </c>
      <c r="X51" t="str">
        <f>VLOOKUP($T51,Legend!$A$12:$F$19,5,FALSE)</f>
        <v>Moderate</v>
      </c>
      <c r="Y51" s="11">
        <f>VLOOKUP($T51,Legend!$A$12:$F$19,6,FALSE)</f>
        <v>3</v>
      </c>
      <c r="Z51" s="10" t="s">
        <v>191</v>
      </c>
      <c r="AA51" t="s">
        <v>192</v>
      </c>
      <c r="AB51" s="11">
        <v>4</v>
      </c>
      <c r="AC51" t="s">
        <v>119</v>
      </c>
    </row>
    <row r="52" spans="1:29" x14ac:dyDescent="0.25">
      <c r="A52">
        <v>50</v>
      </c>
      <c r="B52">
        <v>64.066999999999993</v>
      </c>
      <c r="C52" t="s">
        <v>120</v>
      </c>
      <c r="D52" s="2">
        <v>604164</v>
      </c>
      <c r="E52" s="2">
        <v>3941197</v>
      </c>
      <c r="F52" s="1">
        <v>0.08</v>
      </c>
      <c r="G52" t="s">
        <v>44</v>
      </c>
      <c r="H52" t="s">
        <v>95</v>
      </c>
      <c r="I52" s="15">
        <v>572.45628399999998</v>
      </c>
      <c r="J52" s="15">
        <v>304.94714900000002</v>
      </c>
      <c r="K52" s="15">
        <v>37.224952999999999</v>
      </c>
      <c r="L52" s="15">
        <v>37.224947</v>
      </c>
      <c r="M52" s="15">
        <v>199.86243300000001</v>
      </c>
      <c r="N52" s="15">
        <v>1034.728325</v>
      </c>
      <c r="O52" s="10" t="s">
        <v>20</v>
      </c>
      <c r="P52" t="str">
        <f>VLOOKUP($O52,Legend!$H$12:$K$15,2,FALSE)</f>
        <v>Plain</v>
      </c>
      <c r="Q52" t="str">
        <f>VLOOKUP($O52,Legend!$H$12:$K$15,3,FALSE)</f>
        <v>Moderate-high</v>
      </c>
      <c r="R52" s="11">
        <f>VLOOKUP($O52,Legend!$H$12:$K$15,4,FALSE)</f>
        <v>3</v>
      </c>
      <c r="S52" s="10" t="s">
        <v>79</v>
      </c>
      <c r="T52" t="s">
        <v>80</v>
      </c>
      <c r="U52" t="str">
        <f>VLOOKUP($T52,Legend!$A$12:$F$19,2,FALSE)</f>
        <v>Calcic Solonetz</v>
      </c>
      <c r="V52" t="str">
        <f>VLOOKUP($T52,Legend!$A$12:$F$19,3,FALSE)</f>
        <v>Solonetz</v>
      </c>
      <c r="W52" t="str">
        <f>VLOOKUP($T52,Legend!$A$12:$F$19,4,FALSE)</f>
        <v>Sodicity / structural constraint</v>
      </c>
      <c r="X52" t="str">
        <f>VLOOKUP($T52,Legend!$A$12:$F$19,5,FALSE)</f>
        <v>Very low</v>
      </c>
      <c r="Y52" s="11">
        <f>VLOOKUP($T52,Legend!$A$12:$F$19,6,FALSE)</f>
        <v>1</v>
      </c>
      <c r="Z52" s="10" t="s">
        <v>191</v>
      </c>
      <c r="AA52" t="s">
        <v>192</v>
      </c>
      <c r="AB52" s="11">
        <v>4</v>
      </c>
      <c r="AC52" t="s">
        <v>121</v>
      </c>
    </row>
    <row r="53" spans="1:29" x14ac:dyDescent="0.25">
      <c r="A53">
        <v>51</v>
      </c>
      <c r="B53">
        <v>64.11</v>
      </c>
      <c r="C53" t="s">
        <v>72</v>
      </c>
      <c r="D53" s="2">
        <v>612083</v>
      </c>
      <c r="E53" s="2">
        <v>3944745</v>
      </c>
      <c r="F53" s="1">
        <v>0.6</v>
      </c>
      <c r="G53" t="s">
        <v>44</v>
      </c>
      <c r="H53" t="s">
        <v>19</v>
      </c>
      <c r="I53" s="15">
        <v>2827.100801</v>
      </c>
      <c r="J53" s="15">
        <v>173.853318</v>
      </c>
      <c r="K53" s="15">
        <v>152.05485300000001</v>
      </c>
      <c r="L53" s="15">
        <v>832.35326599999996</v>
      </c>
      <c r="M53" s="15">
        <v>939.04315399999996</v>
      </c>
      <c r="N53" s="15">
        <v>1880.9821240000001</v>
      </c>
      <c r="O53" s="10" t="s">
        <v>20</v>
      </c>
      <c r="P53" t="str">
        <f>VLOOKUP($O53,Legend!$H$12:$K$15,2,FALSE)</f>
        <v>Plain</v>
      </c>
      <c r="Q53" t="str">
        <f>VLOOKUP($O53,Legend!$H$12:$K$15,3,FALSE)</f>
        <v>Moderate-high</v>
      </c>
      <c r="R53" s="11">
        <f>VLOOKUP($O53,Legend!$H$12:$K$15,4,FALSE)</f>
        <v>3</v>
      </c>
      <c r="S53" s="10" t="s">
        <v>65</v>
      </c>
      <c r="T53" t="s">
        <v>68</v>
      </c>
      <c r="U53" t="str">
        <f>VLOOKUP($T53,Legend!$A$12:$F$19,2,FALSE)</f>
        <v>Luvic Calcisols</v>
      </c>
      <c r="V53" t="str">
        <f>VLOOKUP($T53,Legend!$A$12:$F$19,3,FALSE)</f>
        <v>Calcisol</v>
      </c>
      <c r="W53" t="str">
        <f>VLOOKUP($T53,Legend!$A$12:$F$19,4,FALSE)</f>
        <v>Calcareous soil with clay accumulation</v>
      </c>
      <c r="X53" t="str">
        <f>VLOOKUP($T53,Legend!$A$12:$F$19,5,FALSE)</f>
        <v>Moderate</v>
      </c>
      <c r="Y53" s="11">
        <f>VLOOKUP($T53,Legend!$A$12:$F$19,6,FALSE)</f>
        <v>3</v>
      </c>
      <c r="Z53" s="10" t="s">
        <v>191</v>
      </c>
      <c r="AA53" t="s">
        <v>192</v>
      </c>
      <c r="AB53" s="11">
        <v>4</v>
      </c>
      <c r="AC5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Legend</vt:lpstr>
      <vt:lpstr>Chebba sites</vt:lpstr>
      <vt:lpstr>Other 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Soto Hernández</dc:creator>
  <cp:lastModifiedBy>Álvaro Soto Hernández</cp:lastModifiedBy>
  <dcterms:created xsi:type="dcterms:W3CDTF">2026-04-09T10:01:28Z</dcterms:created>
  <dcterms:modified xsi:type="dcterms:W3CDTF">2026-04-10T10:16:56Z</dcterms:modified>
</cp:coreProperties>
</file>